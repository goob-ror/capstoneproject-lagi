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s\WEB\capstoneproject-lagi\server\"/>
    </mc:Choice>
  </mc:AlternateContent>
  <xr:revisionPtr revIDLastSave="0" documentId="13_ncr:1_{93D83288-3441-4BB8-944D-EE373D4FD3D2}" xr6:coauthVersionLast="47" xr6:coauthVersionMax="47" xr10:uidLastSave="{00000000-0000-0000-0000-000000000000}"/>
  <bookViews>
    <workbookView xWindow="-108" yWindow="-108" windowWidth="23256" windowHeight="13176" activeTab="2" xr2:uid="{3D5A0E13-3176-4438-B57E-EF4573CB9BE7}"/>
  </bookViews>
  <sheets>
    <sheet name="Data Pasien" sheetId="1" r:id="rId1"/>
    <sheet name="ANC" sheetId="2" r:id="rId2"/>
    <sheet name="ANC Terpadu" sheetId="3" r:id="rId3"/>
    <sheet name="Persalinan Nifas" sheetId="4" r:id="rId4"/>
    <sheet name="Komplikasi Kebidanan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S7" i="3" l="1"/>
  <c r="DT7" i="3"/>
  <c r="DU7" i="3"/>
  <c r="DV7" i="3"/>
  <c r="DS8" i="3"/>
  <c r="DT8" i="3"/>
  <c r="DU8" i="3"/>
  <c r="DV8" i="3"/>
  <c r="DS9" i="3"/>
  <c r="DT9" i="3"/>
  <c r="DU9" i="3"/>
  <c r="DV9" i="3"/>
  <c r="DS10" i="3"/>
  <c r="DT10" i="3"/>
  <c r="DU10" i="3"/>
  <c r="DV10" i="3"/>
  <c r="DK7" i="3"/>
  <c r="DL7" i="3"/>
  <c r="DM7" i="3"/>
  <c r="DN7" i="3"/>
  <c r="DO7" i="3"/>
  <c r="DP7" i="3"/>
  <c r="DQ7" i="3"/>
  <c r="DR7" i="3"/>
  <c r="DK8" i="3"/>
  <c r="DL8" i="3"/>
  <c r="DM8" i="3"/>
  <c r="DN8" i="3"/>
  <c r="DO8" i="3"/>
  <c r="DP8" i="3"/>
  <c r="DQ8" i="3"/>
  <c r="DR8" i="3"/>
  <c r="DK9" i="3"/>
  <c r="DL9" i="3"/>
  <c r="DM9" i="3"/>
  <c r="DN9" i="3"/>
  <c r="DO9" i="3"/>
  <c r="DP9" i="3"/>
  <c r="DQ9" i="3"/>
  <c r="DR9" i="3"/>
  <c r="DK10" i="3"/>
  <c r="DL10" i="3"/>
  <c r="DM10" i="3"/>
  <c r="DN10" i="3"/>
  <c r="DO10" i="3"/>
  <c r="DP10" i="3"/>
  <c r="DQ10" i="3"/>
  <c r="DR10" i="3"/>
  <c r="DA7" i="3"/>
  <c r="DB7" i="3"/>
  <c r="DC7" i="3"/>
  <c r="DD7" i="3"/>
  <c r="DE7" i="3"/>
  <c r="DF7" i="3"/>
  <c r="DG7" i="3"/>
  <c r="DH7" i="3"/>
  <c r="DI7" i="3"/>
  <c r="DJ7" i="3"/>
  <c r="DA8" i="3"/>
  <c r="DB8" i="3"/>
  <c r="DC8" i="3"/>
  <c r="DD8" i="3"/>
  <c r="DE8" i="3"/>
  <c r="DF8" i="3"/>
  <c r="DG8" i="3"/>
  <c r="DH8" i="3"/>
  <c r="DI8" i="3"/>
  <c r="DJ8" i="3"/>
  <c r="DA9" i="3"/>
  <c r="DB9" i="3"/>
  <c r="DC9" i="3"/>
  <c r="DD9" i="3"/>
  <c r="DE9" i="3"/>
  <c r="DF9" i="3"/>
  <c r="DG9" i="3"/>
  <c r="DH9" i="3"/>
  <c r="DI9" i="3"/>
  <c r="DJ9" i="3"/>
  <c r="DA10" i="3"/>
  <c r="DB10" i="3"/>
  <c r="DC10" i="3"/>
  <c r="DD10" i="3"/>
  <c r="DE10" i="3"/>
  <c r="DF10" i="3"/>
  <c r="DG10" i="3"/>
  <c r="DH10" i="3"/>
  <c r="DI10" i="3"/>
  <c r="DJ10" i="3"/>
  <c r="CY8" i="3"/>
  <c r="CZ8" i="3"/>
  <c r="CY9" i="3"/>
  <c r="CZ9" i="3"/>
  <c r="CY10" i="3"/>
  <c r="CZ10" i="3"/>
  <c r="CZ7" i="3"/>
  <c r="CY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</calcChain>
</file>

<file path=xl/sharedStrings.xml><?xml version="1.0" encoding="utf-8"?>
<sst xmlns="http://schemas.openxmlformats.org/spreadsheetml/2006/main" count="1196" uniqueCount="699">
  <si>
    <t>Tanggal</t>
  </si>
  <si>
    <t>{nama_puskesmas}</t>
  </si>
  <si>
    <t>: {tanggal_laporan}</t>
  </si>
  <si>
    <t>No.</t>
  </si>
  <si>
    <t>Nama Pasien</t>
  </si>
  <si>
    <t>NIK</t>
  </si>
  <si>
    <t>KELURAHAN</t>
  </si>
  <si>
    <t>CAPAIAN</t>
  </si>
  <si>
    <t>Jumlah Bumil</t>
  </si>
  <si>
    <t>Jumlah Bersalin</t>
  </si>
  <si>
    <t>Jumlah Resti</t>
  </si>
  <si>
    <t>Bumil Memiliki Buku KIA</t>
  </si>
  <si>
    <t>Jumlah</t>
  </si>
  <si>
    <t>Persen</t>
  </si>
  <si>
    <t>Bumil Dilayani Sesuai Standar 12 T</t>
  </si>
  <si>
    <t>Bumil Dengan 4 Terlalu</t>
  </si>
  <si>
    <t>K1 Murni</t>
  </si>
  <si>
    <t>K1 Akses</t>
  </si>
  <si>
    <t>K1 USG</t>
  </si>
  <si>
    <t>K4</t>
  </si>
  <si>
    <t>K1 Dokter</t>
  </si>
  <si>
    <t>K5 Dokter</t>
  </si>
  <si>
    <t>K5 USG</t>
  </si>
  <si>
    <t>K6</t>
  </si>
  <si>
    <t>K8</t>
  </si>
  <si>
    <t>T1</t>
  </si>
  <si>
    <t>T2</t>
  </si>
  <si>
    <t>T3</t>
  </si>
  <si>
    <t>T4</t>
  </si>
  <si>
    <t>T5</t>
  </si>
  <si>
    <t>T 2+</t>
  </si>
  <si>
    <t>Fe (30 Tablet)</t>
  </si>
  <si>
    <t>Fe (90 Tablet)</t>
  </si>
  <si>
    <t>Rujukan Resiko Tinggi</t>
  </si>
  <si>
    <t>Jumlah Maternal</t>
  </si>
  <si>
    <t>Simpang Pasir</t>
  </si>
  <si>
    <t>Rawa Makmur</t>
  </si>
  <si>
    <t>Handil Bakti</t>
  </si>
  <si>
    <t>TOTAL</t>
  </si>
  <si>
    <t>Bumil TM1</t>
  </si>
  <si>
    <t>Bumil TM2</t>
  </si>
  <si>
    <t>Bumil TM3</t>
  </si>
  <si>
    <t>K5</t>
  </si>
  <si>
    <t>Diperiksa</t>
  </si>
  <si>
    <t>Anemia Berat</t>
  </si>
  <si>
    <t>Anemia Sedang</t>
  </si>
  <si>
    <t>Anemia Ringan</t>
  </si>
  <si>
    <t>Jumlah Anemia</t>
  </si>
  <si>
    <t>TM1</t>
  </si>
  <si>
    <t>TM2</t>
  </si>
  <si>
    <t>TM3</t>
  </si>
  <si>
    <t>Jumlah Ibu Hamil Anemia</t>
  </si>
  <si>
    <t>Jumlah Kasus Anemia Berat</t>
  </si>
  <si>
    <t>Jumlah Kasus Anemia Sedang</t>
  </si>
  <si>
    <t>Jumlah Kasus Anemia Ringan</t>
  </si>
  <si>
    <t>Anemia Sedang Berat</t>
  </si>
  <si>
    <t>Sedang Berat Ditatalaksana</t>
  </si>
  <si>
    <t>Anemia Ringan Kenaikan Hb</t>
  </si>
  <si>
    <t>Anemia Berat Rujuk FKRTL</t>
  </si>
  <si>
    <t>Laporan Hemoglobin</t>
  </si>
  <si>
    <t>Laporan Hemoglobin TM1 - TM3</t>
  </si>
  <si>
    <t>Diperiksa LILA</t>
  </si>
  <si>
    <t>KEK (LILA &lt; 23.5)</t>
  </si>
  <si>
    <t>KEK Mendapatkan Gizi</t>
  </si>
  <si>
    <t>Diperiksa BMI TM1</t>
  </si>
  <si>
    <t>BMI Kurus</t>
  </si>
  <si>
    <t>BMI Normal</t>
  </si>
  <si>
    <t>BMI Gemuk</t>
  </si>
  <si>
    <t>BMI Obesitas</t>
  </si>
  <si>
    <t>BMI Kurus Kenaikan</t>
  </si>
  <si>
    <t>BMI Normal Kenaikan</t>
  </si>
  <si>
    <t>BMI Normal Penurunan</t>
  </si>
  <si>
    <t>KEK Ditatalaksana</t>
  </si>
  <si>
    <t>LILA Diperiksa</t>
  </si>
  <si>
    <t>Laporan Kekurangan Energi Kronik</t>
  </si>
  <si>
    <t>Diskrining Protein Urine</t>
  </si>
  <si>
    <t>Positif (+1)</t>
  </si>
  <si>
    <t>Positif (+2)</t>
  </si>
  <si>
    <t>Positif (+3)</t>
  </si>
  <si>
    <t>Positif (+4)</t>
  </si>
  <si>
    <t>Laporan Protein Urine</t>
  </si>
  <si>
    <t>Diperiksa Gula Darah</t>
  </si>
  <si>
    <t>Gula Darah &lt; 140 mg/dL</t>
  </si>
  <si>
    <t>Gula Darah 140-199 mg/dL</t>
  </si>
  <si>
    <t>Gula Darah &gt; 200 mg/dL</t>
  </si>
  <si>
    <t>Laporan Gula Darah</t>
  </si>
  <si>
    <t>Diperiksa HIV</t>
  </si>
  <si>
    <t>Hasil Periksa HIV (+)</t>
  </si>
  <si>
    <t>Ibu Hamil Mendapat ART</t>
  </si>
  <si>
    <t>Ibu Hamil HIV (+)</t>
  </si>
  <si>
    <t>Persalinan Normal</t>
  </si>
  <si>
    <t>Persalinan Sectio</t>
  </si>
  <si>
    <t>Diperiksa Mikroskopis/RDT</t>
  </si>
  <si>
    <t>Positif Malaria (+)</t>
  </si>
  <si>
    <t>Ibu Hamil Diberi Kelambu</t>
  </si>
  <si>
    <t>Laporan Pencegahan Penularan HIV dan Ibu ke Anak (PPIA)</t>
  </si>
  <si>
    <t>Laporan Pencegahan Malaria</t>
  </si>
  <si>
    <t>Diperiksa Kecacingan</t>
  </si>
  <si>
    <t>Positif Kecacingan (+)</t>
  </si>
  <si>
    <t>Ibu Hamil Ditatalaksana</t>
  </si>
  <si>
    <t>Laporan Kecacingan</t>
  </si>
  <si>
    <t>Diperiksa IMS</t>
  </si>
  <si>
    <t>Positif IMS (+)</t>
  </si>
  <si>
    <t>Laporan Infeksi Menular Seksual</t>
  </si>
  <si>
    <t>Diperiksa Hepatitis B</t>
  </si>
  <si>
    <t>Positif Hepatitis B (+)</t>
  </si>
  <si>
    <t>Laporan Hepatitis B</t>
  </si>
  <si>
    <t>KEK</t>
  </si>
  <si>
    <t>Preeklamsia/Eklamsia</t>
  </si>
  <si>
    <t>Infeksi</t>
  </si>
  <si>
    <t>Tuberculosis</t>
  </si>
  <si>
    <t>Malaria</t>
  </si>
  <si>
    <t>Jantung</t>
  </si>
  <si>
    <t>Diabetes Melitus</t>
  </si>
  <si>
    <t>Obesitas</t>
  </si>
  <si>
    <t>Covid-19</t>
  </si>
  <si>
    <t>Keguguran</t>
  </si>
  <si>
    <t>Lain-lain</t>
  </si>
  <si>
    <t>Jumlah Bumil Komplikasi</t>
  </si>
  <si>
    <t>Jumlah Bumil Dirujuk RS</t>
  </si>
  <si>
    <t>Persalinan Ditolong Nakes</t>
  </si>
  <si>
    <t>Persalinan Ditolong Non-Nakes</t>
  </si>
  <si>
    <t>Persalinan di Fasyankes</t>
  </si>
  <si>
    <t>Persalinan di Non-Fasyankes</t>
  </si>
  <si>
    <t>Kelurahan</t>
  </si>
  <si>
    <t>Tanggal Lahir</t>
  </si>
  <si>
    <t>Nomor HP</t>
  </si>
  <si>
    <t>Suami Perokok</t>
  </si>
  <si>
    <t>BMI</t>
  </si>
  <si>
    <t>Posyandu</t>
  </si>
  <si>
    <t>HPHT</t>
  </si>
  <si>
    <t>GPA</t>
  </si>
  <si>
    <t>TP</t>
  </si>
  <si>
    <t>KF1</t>
  </si>
  <si>
    <t>KF2</t>
  </si>
  <si>
    <t>KF3</t>
  </si>
  <si>
    <t>KF4 dan Lengkap</t>
  </si>
  <si>
    <t>Mendapat Vitamin A</t>
  </si>
  <si>
    <t>Mendapat Tablet Tambah Darah</t>
  </si>
  <si>
    <t>Pelayanan Nifas</t>
  </si>
  <si>
    <t>Anemia (Hb &lt; 11g/dL)</t>
  </si>
  <si>
    <t>Total Komplikasi</t>
  </si>
  <si>
    <t>HIV</t>
  </si>
  <si>
    <t>Gol Darah</t>
  </si>
  <si>
    <t>Nama Suami</t>
  </si>
  <si>
    <t>Pendidikan</t>
  </si>
  <si>
    <t>Pekerjaan</t>
  </si>
  <si>
    <t>{simpangpasir_jumlahbumil}</t>
  </si>
  <si>
    <t>{rawamakmur_jumlahbumil}</t>
  </si>
  <si>
    <t>{handilbakti_jumlahbumil}</t>
  </si>
  <si>
    <t>{total_jumlahbumil}</t>
  </si>
  <si>
    <t>{total_jumlahbersalin}</t>
  </si>
  <si>
    <t>{handilbakti_jumlahbersalin}</t>
  </si>
  <si>
    <t>{rawamakmur_jumlahbersalin}</t>
  </si>
  <si>
    <t>{simpangpasir_jumlahbersalin}</t>
  </si>
  <si>
    <t>{simpangpasir_jumlahresti}</t>
  </si>
  <si>
    <t>{rawamakmur_jumlahresti}</t>
  </si>
  <si>
    <t>{handilbakti_jumlahresti}</t>
  </si>
  <si>
    <t>{total_jumlahresti}</t>
  </si>
  <si>
    <t>{simpangpasir_jumlah_milikibukukia}</t>
  </si>
  <si>
    <t>{rawamakmur_jumlah_milikibukukia}</t>
  </si>
  <si>
    <t>{handilbakti_jumlah_milikibukukia}</t>
  </si>
  <si>
    <t>{total_jumlah_milikibukukia}</t>
  </si>
  <si>
    <t>{simpangpasir_persen_milikibukukia}</t>
  </si>
  <si>
    <t>{rawamakmur_persen_milikibukukia}</t>
  </si>
  <si>
    <t>{handilbakti_persen_milikibukukia}</t>
  </si>
  <si>
    <t>{total_persen_milikibukukia}</t>
  </si>
  <si>
    <t>{simpangpasir_jumlah_standar12t}</t>
  </si>
  <si>
    <t>{rawamakmur_jumlah_standar12t}</t>
  </si>
  <si>
    <t>{handilbakti_jumlah_standar12t}</t>
  </si>
  <si>
    <t>{total_jumlah_standar12t}</t>
  </si>
  <si>
    <t>{simpangpasir_persen_standar12t}</t>
  </si>
  <si>
    <t>{rawamakmur_persen_standar12t}</t>
  </si>
  <si>
    <t>{handilbakti_persen_standar12t}</t>
  </si>
  <si>
    <t>{total_persen_standar12t}</t>
  </si>
  <si>
    <t>{simpangpasir_jumlah_4terlalu}</t>
  </si>
  <si>
    <t>{rawamakmur_jumlah_4terlalu}</t>
  </si>
  <si>
    <t>{handilbakti_jumlah_4terlalu}</t>
  </si>
  <si>
    <t>{total_jumlah_4terlalu}</t>
  </si>
  <si>
    <t>{simpangpasir_persen_4terlalu}</t>
  </si>
  <si>
    <t>{rawamakmur_persen_4terlalu}</t>
  </si>
  <si>
    <t>{handilbakti_persen_4terlalu}</t>
  </si>
  <si>
    <t>{total_persen_4terlalu}</t>
  </si>
  <si>
    <t>{simpangpasir_jumlah_k1murni}</t>
  </si>
  <si>
    <t>{rawamakmur_jumlah_k1murni}</t>
  </si>
  <si>
    <t>{handilbakti_jumlah_k1murni}</t>
  </si>
  <si>
    <t>{total_jumlah_k1murni}</t>
  </si>
  <si>
    <t>{simpangpasir_persen_k1murni}</t>
  </si>
  <si>
    <t>{rawamakmur_persen_k1murni}</t>
  </si>
  <si>
    <t>{handilbakti_persen_k1murni}</t>
  </si>
  <si>
    <t>{total_persen_k1murni}</t>
  </si>
  <si>
    <t>{simpangpasir_jumlah_k1akses}</t>
  </si>
  <si>
    <t>{rawamakmur_jumlah_k1akses}</t>
  </si>
  <si>
    <t>{handilbakti_jumlah_k1akses}</t>
  </si>
  <si>
    <t>{total_jumlah_k1akses}</t>
  </si>
  <si>
    <t>{simpangpasir_persen_k1akses}</t>
  </si>
  <si>
    <t>{rawamakmur_persen_k1akses}</t>
  </si>
  <si>
    <t>{handilbakti_persen_k1akses}</t>
  </si>
  <si>
    <t>{total_persen_k1akses}</t>
  </si>
  <si>
    <t>{simpangpasir_jumlah_k1dokter}</t>
  </si>
  <si>
    <t>{rawamakmur_jumlah_k1dokter}</t>
  </si>
  <si>
    <t>{handilbakti_jumlah_k1dokter}</t>
  </si>
  <si>
    <t>{total_jumlah_k1dokter}</t>
  </si>
  <si>
    <t>{simpangpasir_persen_k1dokter}</t>
  </si>
  <si>
    <t>{rawamakmur_persen_k1dokter}</t>
  </si>
  <si>
    <t>{handilbakti_persen_k1dokter}</t>
  </si>
  <si>
    <t>{total_persen_k1dokter}</t>
  </si>
  <si>
    <t>{simpangpasir_jumlah_k1usg}</t>
  </si>
  <si>
    <t>{rawamakmur_jumlah_k1usg}</t>
  </si>
  <si>
    <t>{handilbakti_jumlah_k1usg}</t>
  </si>
  <si>
    <t>{total_jumlah_k1usg}</t>
  </si>
  <si>
    <t>{simpangpasir_persen_k1usg}</t>
  </si>
  <si>
    <t>{rawamakmur_persen_k1usg}</t>
  </si>
  <si>
    <t>{handilbakti_persen_k1usg}</t>
  </si>
  <si>
    <t>{total_persen_k1usg}</t>
  </si>
  <si>
    <t>{simpangpasir_jumlah_k4}</t>
  </si>
  <si>
    <t>{rawamakmur_jumlah_k4}</t>
  </si>
  <si>
    <t>{handilbakti_jumlah_k4}</t>
  </si>
  <si>
    <t>{total_jumlah_k4}</t>
  </si>
  <si>
    <t>{simpangpasir_persen_k4}</t>
  </si>
  <si>
    <t>{rawamakmur_persen_k4}</t>
  </si>
  <si>
    <t>{handilbakti_persen_k4}</t>
  </si>
  <si>
    <t>{total_persen_k4}</t>
  </si>
  <si>
    <t>{simpangpasir_tm1_diperiksa}</t>
  </si>
  <si>
    <t>{simpangpasir_tm1_anemia_berat}</t>
  </si>
  <si>
    <t>{simpangpasir_tm1_anemia_sedang}</t>
  </si>
  <si>
    <t>{simpangpasir_tm1_anemia_ringan}</t>
  </si>
  <si>
    <t>{simpangpasir_tm1_jumlah_anemia}</t>
  </si>
  <si>
    <t>{simpangpasir_tm2_diperiksa}</t>
  </si>
  <si>
    <t>{simpangpasir_tm2_anemia_berat}</t>
  </si>
  <si>
    <t>{simpangpasir_tm2_anemia_sedang}</t>
  </si>
  <si>
    <t>{simpangpasir_tm2_anemia_ringan}</t>
  </si>
  <si>
    <t>{simpangpasir_tm2_jumlah_anemia}</t>
  </si>
  <si>
    <t>{simpangpasir_tm3_diperiksa}</t>
  </si>
  <si>
    <t>{simpangpasir_tm3_anemia_berat}</t>
  </si>
  <si>
    <t>{simpangpasir_tm3_anemia_sedang}</t>
  </si>
  <si>
    <t>{simpangpasir_tm3_anemia_ringan}</t>
  </si>
  <si>
    <t>{simpangpasir_tm3_jumlah_anemia}</t>
  </si>
  <si>
    <t>{rawamakmur_tm1_diperiksa}</t>
  </si>
  <si>
    <t>{rawamakmur_tm1_anemia_berat}</t>
  </si>
  <si>
    <t>{rawamakmur_tm1_anemia_sedang}</t>
  </si>
  <si>
    <t>{rawamakmur_tm1_anemia_ringan}</t>
  </si>
  <si>
    <t>{rawamakmur_tm1_jumlah_anemia}</t>
  </si>
  <si>
    <t>{rawamakmur_tm2_diperiksa}</t>
  </si>
  <si>
    <t>{rawamakmur_tm2_anemia_berat}</t>
  </si>
  <si>
    <t>{rawamakmur_tm2_anemia_sedang}</t>
  </si>
  <si>
    <t>{rawamakmur_tm2_anemia_ringan}</t>
  </si>
  <si>
    <t>{rawamakmur_tm2_jumlah_anemia}</t>
  </si>
  <si>
    <t>{rawamakmur_tm3_diperiksa}</t>
  </si>
  <si>
    <t>{rawamakmur_tm3_anemia_berat}</t>
  </si>
  <si>
    <t>{rawamakmur_tm3_anemia_sedang}</t>
  </si>
  <si>
    <t>{rawamakmur_tm3_anemia_ringan}</t>
  </si>
  <si>
    <t>{rawamakmur_tm3_jumlah_anemia}</t>
  </si>
  <si>
    <t>{handilbakti_tm1_diperiksa}</t>
  </si>
  <si>
    <t>{handilbakti_tm1_anemia_berat}</t>
  </si>
  <si>
    <t>{handilbakti_tm1_anemia_sedang}</t>
  </si>
  <si>
    <t>{handilbakti_tm1_anemia_ringan}</t>
  </si>
  <si>
    <t>{handilbakti_tm1_jumlah_anemia}</t>
  </si>
  <si>
    <t>{handilbakti_tm2_diperiksa}</t>
  </si>
  <si>
    <t>{handilbakti_tm2_anemia_berat}</t>
  </si>
  <si>
    <t>{handilbakti_tm2_anemia_sedang}</t>
  </si>
  <si>
    <t>{handilbakti_tm2_anemia_ringan}</t>
  </si>
  <si>
    <t>{handilbakti_tm2_jumlah_anemia}</t>
  </si>
  <si>
    <t>{handilbakti_tm3_diperiksa}</t>
  </si>
  <si>
    <t>{handilbakti_tm3_anemia_berat}</t>
  </si>
  <si>
    <t>{handilbakti_tm3_anemia_sedang}</t>
  </si>
  <si>
    <t>{handilbakti_tm3_anemia_ringan}</t>
  </si>
  <si>
    <t>{handilbakti_tm3_jumlah_anemia}</t>
  </si>
  <si>
    <t>{total_tm1_diperiksa}</t>
  </si>
  <si>
    <t>{total_tm1_anemia_berat}</t>
  </si>
  <si>
    <t>{total_tm1_anemia_sedang}</t>
  </si>
  <si>
    <t>{total_tm1_anemia_ringan}</t>
  </si>
  <si>
    <t>{total_tm1_jumlah_anemia}</t>
  </si>
  <si>
    <t>{total_tm2_diperiksa}</t>
  </si>
  <si>
    <t>{total_tm2_anemia_berat}</t>
  </si>
  <si>
    <t>{total_tm2_anemia_sedang}</t>
  </si>
  <si>
    <t>{total_tm2_anemia_ringan}</t>
  </si>
  <si>
    <t>{total_tm2_jumlah_anemia}</t>
  </si>
  <si>
    <t>{total_tm3_diperiksa}</t>
  </si>
  <si>
    <t>{total_tm3_anemia_berat}</t>
  </si>
  <si>
    <t>{total_tm3_anemia_sedang}</t>
  </si>
  <si>
    <t>{total_tm3_anemia_ringan}</t>
  </si>
  <si>
    <t>{total_tm3_jumlah_anemia}</t>
  </si>
  <si>
    <t>{datapasien_no}</t>
  </si>
  <si>
    <t>{datapasien_namapasien}</t>
  </si>
  <si>
    <t>{datapasien_nik}</t>
  </si>
  <si>
    <t>{datapasien_tanggallahir}</t>
  </si>
  <si>
    <t>{datapasien_goldarah}</t>
  </si>
  <si>
    <t>{datapasien_nomorhp}</t>
  </si>
  <si>
    <t>{datapasien_kelurahan}</t>
  </si>
  <si>
    <t>{datapasien_posyandu}</t>
  </si>
  <si>
    <t>{datapasien_namasuami}</t>
  </si>
  <si>
    <t>{datapasien_suamiperokok}</t>
  </si>
  <si>
    <t>{datapasien_pendidikan}</t>
  </si>
  <si>
    <t>{datapasien_pekerjaan}</t>
  </si>
  <si>
    <t>{datapasien_bmi}</t>
  </si>
  <si>
    <t>{datapasien_hpht}</t>
  </si>
  <si>
    <t>{datapasien_gpa}</t>
  </si>
  <si>
    <t>{datapasien_tp}</t>
  </si>
  <si>
    <t>{simpangpasir_jumlah_k5}</t>
  </si>
  <si>
    <t>{rawamakmur_jumlah_k5}</t>
  </si>
  <si>
    <t>{handilbakti_jumlah_k5}</t>
  </si>
  <si>
    <t>{total_jumlah_k5}</t>
  </si>
  <si>
    <t>{simpangpasir_persen_k5}</t>
  </si>
  <si>
    <t>{rawamakmur_persen_k5}</t>
  </si>
  <si>
    <t>{handilbakti_persen_k5}</t>
  </si>
  <si>
    <t>{total_persen_k5}</t>
  </si>
  <si>
    <t>simpangpasir</t>
  </si>
  <si>
    <t>rawamakmur</t>
  </si>
  <si>
    <t>handilbakti</t>
  </si>
  <si>
    <t>total</t>
  </si>
  <si>
    <t>jumlah</t>
  </si>
  <si>
    <t>persen</t>
  </si>
  <si>
    <t>Jumlah Neonatal</t>
  </si>
  <si>
    <t>{simpangpasir_jumlah_k5dokter}</t>
  </si>
  <si>
    <t>{simpangpasir_persen_k5dokter}</t>
  </si>
  <si>
    <t>{simpangpasir_jumlah_k5usg}</t>
  </si>
  <si>
    <t>{simpangpasir_persen_k5usg}</t>
  </si>
  <si>
    <t>{simpangpasir_jumlah_k6}</t>
  </si>
  <si>
    <t>{simpangpasir_persen_k6}</t>
  </si>
  <si>
    <t>{simpangpasir_jumlah_k8}</t>
  </si>
  <si>
    <t>{simpangpasir_persen_k8}</t>
  </si>
  <si>
    <t>{simpangpasir_jumlah_t1}</t>
  </si>
  <si>
    <t>{simpangpasir_persen_t1}</t>
  </si>
  <si>
    <t>{simpangpasir_jumlah_t2}</t>
  </si>
  <si>
    <t>{simpangpasir_persen_t2}</t>
  </si>
  <si>
    <t>{simpangpasir_jumlah_t3}</t>
  </si>
  <si>
    <t>{simpangpasir_persen_t3}</t>
  </si>
  <si>
    <t>{simpangpasir_jumlah_t4}</t>
  </si>
  <si>
    <t>{simpangpasir_persen_t4}</t>
  </si>
  <si>
    <t>{simpangpasir_jumlah_t5}</t>
  </si>
  <si>
    <t>{simpangpasir_persen_t5}</t>
  </si>
  <si>
    <t>{simpangpasir_jumlah_t2+}</t>
  </si>
  <si>
    <t>{simpangpasir_persen_t2+}</t>
  </si>
  <si>
    <t>{simpangpasir_jumlah_fe30}</t>
  </si>
  <si>
    <t>{simpangpasir_persen_fe30}</t>
  </si>
  <si>
    <t>{simpangpasir_jumlah_fe90}</t>
  </si>
  <si>
    <t>{simpangpasir_persen_fe90}</t>
  </si>
  <si>
    <t>{simpangpasir_jumlah_maternal}</t>
  </si>
  <si>
    <t>{simpangpasir_persen_maternal}</t>
  </si>
  <si>
    <t>{simpangpasir_jumlah_neoatal}</t>
  </si>
  <si>
    <t>{simpangpasir_persen_neoatal}</t>
  </si>
  <si>
    <t>{rawamakmur_jumlah_k5dokter}</t>
  </si>
  <si>
    <t>{rawamakmur_persen_k5dokter}</t>
  </si>
  <si>
    <t>{rawamakmur_jumlah_k5usg}</t>
  </si>
  <si>
    <t>{rawamakmur_persen_k5usg}</t>
  </si>
  <si>
    <t>{rawamakmur_jumlah_k6}</t>
  </si>
  <si>
    <t>{rawamakmur_persen_k6}</t>
  </si>
  <si>
    <t>{rawamakmur_jumlah_k8}</t>
  </si>
  <si>
    <t>{rawamakmur_persen_k8}</t>
  </si>
  <si>
    <t>{rawamakmur_jumlah_t1}</t>
  </si>
  <si>
    <t>{rawamakmur_persen_t1}</t>
  </si>
  <si>
    <t>{rawamakmur_jumlah_t2}</t>
  </si>
  <si>
    <t>{rawamakmur_persen_t2}</t>
  </si>
  <si>
    <t>{rawamakmur_jumlah_t3}</t>
  </si>
  <si>
    <t>{rawamakmur_persen_t3}</t>
  </si>
  <si>
    <t>{rawamakmur_jumlah_t4}</t>
  </si>
  <si>
    <t>{rawamakmur_persen_t4}</t>
  </si>
  <si>
    <t>{rawamakmur_jumlah_t5}</t>
  </si>
  <si>
    <t>{rawamakmur_persen_t5}</t>
  </si>
  <si>
    <t>{rawamakmur_jumlah_t2+}</t>
  </si>
  <si>
    <t>{rawamakmur_persen_t2+}</t>
  </si>
  <si>
    <t>{rawamakmur_jumlah_fe30}</t>
  </si>
  <si>
    <t>{rawamakmur_persen_fe30}</t>
  </si>
  <si>
    <t>{rawamakmur_jumlah_fe90}</t>
  </si>
  <si>
    <t>{rawamakmur_persen_fe90}</t>
  </si>
  <si>
    <t>{rawamakmur_jumlah_maternal}</t>
  </si>
  <si>
    <t>{rawamakmur_persen_maternal}</t>
  </si>
  <si>
    <t>{rawamakmur_jumlah_neoatal}</t>
  </si>
  <si>
    <t>{rawamakmur_persen_neoatal}</t>
  </si>
  <si>
    <t>{handilbakti_jumlah_k5dokter}</t>
  </si>
  <si>
    <t>{handilbakti_persen_k5dokter}</t>
  </si>
  <si>
    <t>{handilbakti_jumlah_k5usg}</t>
  </si>
  <si>
    <t>{handilbakti_persen_k5usg}</t>
  </si>
  <si>
    <t>{handilbakti_jumlah_k6}</t>
  </si>
  <si>
    <t>{handilbakti_persen_k6}</t>
  </si>
  <si>
    <t>{handilbakti_jumlah_k8}</t>
  </si>
  <si>
    <t>{handilbakti_persen_k8}</t>
  </si>
  <si>
    <t>{handilbakti_jumlah_t1}</t>
  </si>
  <si>
    <t>{handilbakti_persen_t1}</t>
  </si>
  <si>
    <t>{handilbakti_jumlah_t2}</t>
  </si>
  <si>
    <t>{handilbakti_persen_t2}</t>
  </si>
  <si>
    <t>{handilbakti_jumlah_t3}</t>
  </si>
  <si>
    <t>{handilbakti_persen_t3}</t>
  </si>
  <si>
    <t>{handilbakti_jumlah_t4}</t>
  </si>
  <si>
    <t>{handilbakti_persen_t4}</t>
  </si>
  <si>
    <t>{handilbakti_jumlah_t5}</t>
  </si>
  <si>
    <t>{handilbakti_persen_t5}</t>
  </si>
  <si>
    <t>{handilbakti_jumlah_t2+}</t>
  </si>
  <si>
    <t>{handilbakti_persen_t2+}</t>
  </si>
  <si>
    <t>{handilbakti_jumlah_fe30}</t>
  </si>
  <si>
    <t>{handilbakti_persen_fe30}</t>
  </si>
  <si>
    <t>{handilbakti_jumlah_fe90}</t>
  </si>
  <si>
    <t>{handilbakti_persen_fe90}</t>
  </si>
  <si>
    <t>{handilbakti_jumlah_maternal}</t>
  </si>
  <si>
    <t>{handilbakti_persen_maternal}</t>
  </si>
  <si>
    <t>{handilbakti_jumlah_neoatal}</t>
  </si>
  <si>
    <t>{handilbakti_persen_neoatal}</t>
  </si>
  <si>
    <t>{total_jumlah_k5dokter}</t>
  </si>
  <si>
    <t>{total_persen_k5dokter}</t>
  </si>
  <si>
    <t>{total_jumlah_k5usg}</t>
  </si>
  <si>
    <t>{total_persen_k5usg}</t>
  </si>
  <si>
    <t>{total_jumlah_k6}</t>
  </si>
  <si>
    <t>{total_persen_k6}</t>
  </si>
  <si>
    <t>{total_jumlah_k8}</t>
  </si>
  <si>
    <t>{total_persen_k8}</t>
  </si>
  <si>
    <t>{total_jumlah_t1}</t>
  </si>
  <si>
    <t>{total_persen_t1}</t>
  </si>
  <si>
    <t>{total_jumlah_t2}</t>
  </si>
  <si>
    <t>{total_persen_t2}</t>
  </si>
  <si>
    <t>{total_jumlah_t3}</t>
  </si>
  <si>
    <t>{total_persen_t3}</t>
  </si>
  <si>
    <t>{total_jumlah_t4}</t>
  </si>
  <si>
    <t>{total_persen_t4}</t>
  </si>
  <si>
    <t>{total_jumlah_t5}</t>
  </si>
  <si>
    <t>{total_persen_t5}</t>
  </si>
  <si>
    <t>{total_jumlah_t2+}</t>
  </si>
  <si>
    <t>{total_persen_t2+}</t>
  </si>
  <si>
    <t>{total_jumlah_fe30}</t>
  </si>
  <si>
    <t>{total_persen_fe30}</t>
  </si>
  <si>
    <t>{total_jumlah_fe90}</t>
  </si>
  <si>
    <t>{total_persen_fe90}</t>
  </si>
  <si>
    <t>{total_jumlah_maternal}</t>
  </si>
  <si>
    <t>{total_persen_maternal}</t>
  </si>
  <si>
    <t>{total_jumlah_neoatal}</t>
  </si>
  <si>
    <t>{total_persen_neoatal}</t>
  </si>
  <si>
    <t>bumilanemia</t>
  </si>
  <si>
    <t>anemiaberat</t>
  </si>
  <si>
    <t>anemiasedang</t>
  </si>
  <si>
    <t>anemiaringan</t>
  </si>
  <si>
    <t>anemiasedangberat</t>
  </si>
  <si>
    <t>sedangberat_tatalaksana</t>
  </si>
  <si>
    <t>anemiaringan_naikhb</t>
  </si>
  <si>
    <t>anemiaberat_rujukrs</t>
  </si>
  <si>
    <t>diperiksalila</t>
  </si>
  <si>
    <t>kek</t>
  </si>
  <si>
    <t>kek_gizi</t>
  </si>
  <si>
    <t>diperiksa_bmitm1</t>
  </si>
  <si>
    <t>diperiksa_bmitm2</t>
  </si>
  <si>
    <t>diperiksa_bmitm3</t>
  </si>
  <si>
    <t>diperiksa_bmitm4</t>
  </si>
  <si>
    <t>bmikurus</t>
  </si>
  <si>
    <t>bminormal</t>
  </si>
  <si>
    <t>bmigemuk</t>
  </si>
  <si>
    <t>bmiobesitas</t>
  </si>
  <si>
    <t>bmikurus_naik</t>
  </si>
  <si>
    <t>bminormal_naik</t>
  </si>
  <si>
    <t>bminormal_turun</t>
  </si>
  <si>
    <t>kek_tatalaksana</t>
  </si>
  <si>
    <t>tm1</t>
  </si>
  <si>
    <t>tm2</t>
  </si>
  <si>
    <t>tm3</t>
  </si>
  <si>
    <t>liladiperiksa</t>
  </si>
  <si>
    <t>{simpangpasir_jumlah_bumilanemia}</t>
  </si>
  <si>
    <t>{simpangpasir_persen_bumilanemia}</t>
  </si>
  <si>
    <t>{simpangpasir_jumlah_anemiaberat}</t>
  </si>
  <si>
    <t>{simpangpasir_persen_anemiaberat}</t>
  </si>
  <si>
    <t>{simpangpasir_jumlah_anemiasedang}</t>
  </si>
  <si>
    <t>{simpangpasir_persen_anemiasedang}</t>
  </si>
  <si>
    <t>{simpangpasir_jumlah_anemiaringan}</t>
  </si>
  <si>
    <t>{simpangpasir_persen_anemiaringan}</t>
  </si>
  <si>
    <t>{simpangpasir_jumlah_anemiasedangberat}</t>
  </si>
  <si>
    <t>{simpangpasir_persen_anemiasedangberat}</t>
  </si>
  <si>
    <t>{simpangpasir_jumlah_sedangberat_tatalaksana}</t>
  </si>
  <si>
    <t>{simpangpasir_persen_sedangberat_tatalaksana}</t>
  </si>
  <si>
    <t>{simpangpasir_jumlah_anemiaringan_naikhb}</t>
  </si>
  <si>
    <t>{simpangpasir_persen_anemiaringan_naikhb}</t>
  </si>
  <si>
    <t>{simpangpasir_jumlah_anemiaberat_rujukrs}</t>
  </si>
  <si>
    <t>{simpangpasir_persen_anemiaberat_rujukrs}</t>
  </si>
  <si>
    <t>{simpangpasir_jumlah_diperiksalila}</t>
  </si>
  <si>
    <t>{simpangpasir_persen_diperiksalila}</t>
  </si>
  <si>
    <t>{simpangpasir_jumlah_kek}</t>
  </si>
  <si>
    <t>{simpangpasir_persen_kek}</t>
  </si>
  <si>
    <t>{simpangpasir_jumlah_kek_gizi}</t>
  </si>
  <si>
    <t>{simpangpasir_persen_kek_gizi}</t>
  </si>
  <si>
    <t>{simpangpasir_jumlah_diperiksa_bmitm1}</t>
  </si>
  <si>
    <t>{simpangpasir_persen_diperiksa_bmitm1}</t>
  </si>
  <si>
    <t>{simpangpasir_jumlah_bmikurus}</t>
  </si>
  <si>
    <t>{simpangpasir_persen_bmikurus}</t>
  </si>
  <si>
    <t>{simpangpasir_jumlah_bminormal}</t>
  </si>
  <si>
    <t>{simpangpasir_persen_bminormal}</t>
  </si>
  <si>
    <t>{simpangpasir_jumlah_bmigemuk}</t>
  </si>
  <si>
    <t>{simpangpasir_persen_bmigemuk}</t>
  </si>
  <si>
    <t>{simpangpasir_jumlah_bmiobesitas}</t>
  </si>
  <si>
    <t>{simpangpasir_persen_bmiobesitas}</t>
  </si>
  <si>
    <t>{simpangpasir_jumlah_bmikurus_naik}</t>
  </si>
  <si>
    <t>{simpangpasir_persen_bmikurus_naik}</t>
  </si>
  <si>
    <t>{simpangpasir_jumlah_bminormal_naik}</t>
  </si>
  <si>
    <t>{simpangpasir_persen_bminormal_naik}</t>
  </si>
  <si>
    <t>{simpangpasir_jumlah_bminormal_turun}</t>
  </si>
  <si>
    <t>{simpangpasir_persen_bminormal_turun}</t>
  </si>
  <si>
    <t>{simpangpasir_jumlah_kek_tatalaksana}</t>
  </si>
  <si>
    <t>{simpangpasir_persen_kek_tatalaksana}</t>
  </si>
  <si>
    <t>{rawamakmur_jumlah_bumilanemia}</t>
  </si>
  <si>
    <t>{rawamakmur_persen_bumilanemia}</t>
  </si>
  <si>
    <t>{rawamakmur_jumlah_anemiaberat}</t>
  </si>
  <si>
    <t>{rawamakmur_persen_anemiaberat}</t>
  </si>
  <si>
    <t>{rawamakmur_jumlah_anemiasedang}</t>
  </si>
  <si>
    <t>{rawamakmur_persen_anemiasedang}</t>
  </si>
  <si>
    <t>{rawamakmur_jumlah_anemiaringan}</t>
  </si>
  <si>
    <t>{rawamakmur_persen_anemiaringan}</t>
  </si>
  <si>
    <t>{rawamakmur_jumlah_anemiasedangberat}</t>
  </si>
  <si>
    <t>{rawamakmur_persen_anemiasedangberat}</t>
  </si>
  <si>
    <t>{rawamakmur_jumlah_sedangberat_tatalaksana}</t>
  </si>
  <si>
    <t>{rawamakmur_persen_sedangberat_tatalaksana}</t>
  </si>
  <si>
    <t>{rawamakmur_jumlah_anemiaringan_naikhb}</t>
  </si>
  <si>
    <t>{rawamakmur_persen_anemiaringan_naikhb}</t>
  </si>
  <si>
    <t>{rawamakmur_jumlah_anemiaberat_rujukrs}</t>
  </si>
  <si>
    <t>{rawamakmur_persen_anemiaberat_rujukrs}</t>
  </si>
  <si>
    <t>{rawamakmur_jumlah_diperiksalila}</t>
  </si>
  <si>
    <t>{rawamakmur_persen_diperiksalila}</t>
  </si>
  <si>
    <t>{rawamakmur_jumlah_kek}</t>
  </si>
  <si>
    <t>{rawamakmur_persen_kek}</t>
  </si>
  <si>
    <t>{rawamakmur_jumlah_kek_gizi}</t>
  </si>
  <si>
    <t>{rawamakmur_persen_kek_gizi}</t>
  </si>
  <si>
    <t>{rawamakmur_jumlah_diperiksa_bmitm2}</t>
  </si>
  <si>
    <t>{rawamakmur_persen_diperiksa_bmitm2}</t>
  </si>
  <si>
    <t>{rawamakmur_jumlah_bmikurus}</t>
  </si>
  <si>
    <t>{rawamakmur_persen_bmikurus}</t>
  </si>
  <si>
    <t>{rawamakmur_jumlah_bminormal}</t>
  </si>
  <si>
    <t>{rawamakmur_persen_bminormal}</t>
  </si>
  <si>
    <t>{rawamakmur_jumlah_bmigemuk}</t>
  </si>
  <si>
    <t>{rawamakmur_persen_bmigemuk}</t>
  </si>
  <si>
    <t>{rawamakmur_jumlah_bmiobesitas}</t>
  </si>
  <si>
    <t>{rawamakmur_persen_bmiobesitas}</t>
  </si>
  <si>
    <t>{rawamakmur_jumlah_bmikurus_naik}</t>
  </si>
  <si>
    <t>{rawamakmur_persen_bmikurus_naik}</t>
  </si>
  <si>
    <t>{rawamakmur_jumlah_bminormal_naik}</t>
  </si>
  <si>
    <t>{rawamakmur_persen_bminormal_naik}</t>
  </si>
  <si>
    <t>{rawamakmur_jumlah_bminormal_turun}</t>
  </si>
  <si>
    <t>{rawamakmur_persen_bminormal_turun}</t>
  </si>
  <si>
    <t>{rawamakmur_jumlah_kek_tatalaksana}</t>
  </si>
  <si>
    <t>{rawamakmur_persen_kek_tatalaksana}</t>
  </si>
  <si>
    <t>{handilbakti_jumlah_bumilanemia}</t>
  </si>
  <si>
    <t>{handilbakti_persen_bumilanemia}</t>
  </si>
  <si>
    <t>{handilbakti_jumlah_anemiaberat}</t>
  </si>
  <si>
    <t>{handilbakti_persen_anemiaberat}</t>
  </si>
  <si>
    <t>{handilbakti_jumlah_anemiasedang}</t>
  </si>
  <si>
    <t>{handilbakti_persen_anemiasedang}</t>
  </si>
  <si>
    <t>{handilbakti_jumlah_anemiaringan}</t>
  </si>
  <si>
    <t>{handilbakti_persen_anemiaringan}</t>
  </si>
  <si>
    <t>{handilbakti_jumlah_anemiasedangberat}</t>
  </si>
  <si>
    <t>{handilbakti_persen_anemiasedangberat}</t>
  </si>
  <si>
    <t>{handilbakti_jumlah_sedangberat_tatalaksana}</t>
  </si>
  <si>
    <t>{handilbakti_persen_sedangberat_tatalaksana}</t>
  </si>
  <si>
    <t>{handilbakti_jumlah_anemiaringan_naikhb}</t>
  </si>
  <si>
    <t>{handilbakti_persen_anemiaringan_naikhb}</t>
  </si>
  <si>
    <t>{handilbakti_jumlah_anemiaberat_rujukrs}</t>
  </si>
  <si>
    <t>{handilbakti_persen_anemiaberat_rujukrs}</t>
  </si>
  <si>
    <t>{handilbakti_jumlah_diperiksalila}</t>
  </si>
  <si>
    <t>{handilbakti_persen_diperiksalila}</t>
  </si>
  <si>
    <t>{handilbakti_jumlah_kek}</t>
  </si>
  <si>
    <t>{handilbakti_persen_kek}</t>
  </si>
  <si>
    <t>{handilbakti_jumlah_kek_gizi}</t>
  </si>
  <si>
    <t>{handilbakti_persen_kek_gizi}</t>
  </si>
  <si>
    <t>{handilbakti_jumlah_diperiksa_bmitm3}</t>
  </si>
  <si>
    <t>{handilbakti_persen_diperiksa_bmitm3}</t>
  </si>
  <si>
    <t>{handilbakti_jumlah_bmikurus}</t>
  </si>
  <si>
    <t>{handilbakti_persen_bmikurus}</t>
  </si>
  <si>
    <t>{handilbakti_jumlah_bminormal}</t>
  </si>
  <si>
    <t>{handilbakti_persen_bminormal}</t>
  </si>
  <si>
    <t>{handilbakti_jumlah_bmigemuk}</t>
  </si>
  <si>
    <t>{handilbakti_persen_bmigemuk}</t>
  </si>
  <si>
    <t>{handilbakti_jumlah_bmiobesitas}</t>
  </si>
  <si>
    <t>{handilbakti_persen_bmiobesitas}</t>
  </si>
  <si>
    <t>{handilbakti_jumlah_bmikurus_naik}</t>
  </si>
  <si>
    <t>{handilbakti_persen_bmikurus_naik}</t>
  </si>
  <si>
    <t>{handilbakti_jumlah_bminormal_naik}</t>
  </si>
  <si>
    <t>{handilbakti_persen_bminormal_naik}</t>
  </si>
  <si>
    <t>{handilbakti_jumlah_bminormal_turun}</t>
  </si>
  <si>
    <t>{handilbakti_persen_bminormal_turun}</t>
  </si>
  <si>
    <t>{handilbakti_jumlah_kek_tatalaksana}</t>
  </si>
  <si>
    <t>{handilbakti_persen_kek_tatalaksana}</t>
  </si>
  <si>
    <t>{total_jumlah_bumilanemia}</t>
  </si>
  <si>
    <t>{total_persen_bumilanemia}</t>
  </si>
  <si>
    <t>{total_jumlah_anemiaberat}</t>
  </si>
  <si>
    <t>{total_persen_anemiaberat}</t>
  </si>
  <si>
    <t>{total_jumlah_anemiasedang}</t>
  </si>
  <si>
    <t>{total_persen_anemiasedang}</t>
  </si>
  <si>
    <t>{total_jumlah_anemiaringan}</t>
  </si>
  <si>
    <t>{total_persen_anemiaringan}</t>
  </si>
  <si>
    <t>{total_jumlah_anemiasedangberat}</t>
  </si>
  <si>
    <t>{total_persen_anemiasedangberat}</t>
  </si>
  <si>
    <t>{total_jumlah_sedangberat_tatalaksana}</t>
  </si>
  <si>
    <t>{total_persen_sedangberat_tatalaksana}</t>
  </si>
  <si>
    <t>{total_jumlah_anemiaringan_naikhb}</t>
  </si>
  <si>
    <t>{total_persen_anemiaringan_naikhb}</t>
  </si>
  <si>
    <t>{total_jumlah_anemiaberat_rujukrs}</t>
  </si>
  <si>
    <t>{total_persen_anemiaberat_rujukrs}</t>
  </si>
  <si>
    <t>{total_jumlah_diperiksalila}</t>
  </si>
  <si>
    <t>{total_persen_diperiksalila}</t>
  </si>
  <si>
    <t>{total_jumlah_kek}</t>
  </si>
  <si>
    <t>{total_persen_kek}</t>
  </si>
  <si>
    <t>{total_jumlah_kek_gizi}</t>
  </si>
  <si>
    <t>{total_persen_kek_gizi}</t>
  </si>
  <si>
    <t>{total_jumlah_diperiksa_bmitm4}</t>
  </si>
  <si>
    <t>{total_persen_diperiksa_bmitm4}</t>
  </si>
  <si>
    <t>{total_jumlah_bmikurus}</t>
  </si>
  <si>
    <t>{total_persen_bmikurus}</t>
  </si>
  <si>
    <t>{total_jumlah_bminormal}</t>
  </si>
  <si>
    <t>{total_persen_bminormal}</t>
  </si>
  <si>
    <t>{total_jumlah_bmigemuk}</t>
  </si>
  <si>
    <t>{total_persen_bmigemuk}</t>
  </si>
  <si>
    <t>{total_jumlah_bmiobesitas}</t>
  </si>
  <si>
    <t>{total_persen_bmiobesitas}</t>
  </si>
  <si>
    <t>{total_jumlah_bmikurus_naik}</t>
  </si>
  <si>
    <t>{total_persen_bmikurus_naik}</t>
  </si>
  <si>
    <t>{total_jumlah_bminormal_naik}</t>
  </si>
  <si>
    <t>{total_persen_bminormal_naik}</t>
  </si>
  <si>
    <t>{total_jumlah_bminormal_turun}</t>
  </si>
  <si>
    <t>{total_persen_bminormal_turun}</t>
  </si>
  <si>
    <t>{total_jumlah_kek_tatalaksana}</t>
  </si>
  <si>
    <t>{total_persen_kek_tatalaksana}</t>
  </si>
  <si>
    <t>{simpangpasir_tm1_liladiperiksa}</t>
  </si>
  <si>
    <t>{simpangpasir_tm1_bmikurus}</t>
  </si>
  <si>
    <t>{simpangpasir_tm1_bminormal}</t>
  </si>
  <si>
    <t>{simpangpasir_tm1_bmigemuk}</t>
  </si>
  <si>
    <t>{simpangpasir_tm1_bmiobesitas}</t>
  </si>
  <si>
    <t>{simpangpasir_tm2_liladiperiksa}</t>
  </si>
  <si>
    <t>{simpangpasir_tm2_bmikurus}</t>
  </si>
  <si>
    <t>{simpangpasir_tm2_bminormal}</t>
  </si>
  <si>
    <t>{simpangpasir_tm2_bmigemuk}</t>
  </si>
  <si>
    <t>{simpangpasir_tm2_bmiobesitas}</t>
  </si>
  <si>
    <t>{simpangpasir_tm3_liladiperiksa}</t>
  </si>
  <si>
    <t>{simpangpasir_tm3_bmikurus}</t>
  </si>
  <si>
    <t>{simpangpasir_tm3_bminormal}</t>
  </si>
  <si>
    <t>{simpangpasir_tm3_bmigemuk}</t>
  </si>
  <si>
    <t>{simpangpasir_tm3_bmiobesitas}</t>
  </si>
  <si>
    <t>{rawamakmur_tm1_liladiperiksa}</t>
  </si>
  <si>
    <t>{rawamakmur_tm1_bmikurus}</t>
  </si>
  <si>
    <t>{rawamakmur_tm1_bminormal}</t>
  </si>
  <si>
    <t>{rawamakmur_tm1_bmigemuk}</t>
  </si>
  <si>
    <t>{rawamakmur_tm1_bmiobesitas}</t>
  </si>
  <si>
    <t>{rawamakmur_tm2_liladiperiksa}</t>
  </si>
  <si>
    <t>{rawamakmur_tm2_bmikurus}</t>
  </si>
  <si>
    <t>{rawamakmur_tm2_bminormal}</t>
  </si>
  <si>
    <t>{rawamakmur_tm2_bmigemuk}</t>
  </si>
  <si>
    <t>{rawamakmur_tm2_bmiobesitas}</t>
  </si>
  <si>
    <t>{rawamakmur_tm3_liladiperiksa}</t>
  </si>
  <si>
    <t>{rawamakmur_tm3_bmikurus}</t>
  </si>
  <si>
    <t>{rawamakmur_tm3_bminormal}</t>
  </si>
  <si>
    <t>{rawamakmur_tm3_bmigemuk}</t>
  </si>
  <si>
    <t>{rawamakmur_tm3_bmiobesitas}</t>
  </si>
  <si>
    <t>{handilbakti_tm1_liladiperiksa}</t>
  </si>
  <si>
    <t>{handilbakti_tm1_bmikurus}</t>
  </si>
  <si>
    <t>{handilbakti_tm1_bminormal}</t>
  </si>
  <si>
    <t>{handilbakti_tm1_bmigemuk}</t>
  </si>
  <si>
    <t>{handilbakti_tm1_bmiobesitas}</t>
  </si>
  <si>
    <t>{handilbakti_tm2_liladiperiksa}</t>
  </si>
  <si>
    <t>{handilbakti_tm2_bmikurus}</t>
  </si>
  <si>
    <t>{handilbakti_tm2_bminormal}</t>
  </si>
  <si>
    <t>{handilbakti_tm2_bmigemuk}</t>
  </si>
  <si>
    <t>{handilbakti_tm2_bmiobesitas}</t>
  </si>
  <si>
    <t>{handilbakti_tm3_liladiperiksa}</t>
  </si>
  <si>
    <t>{handilbakti_tm3_bmikurus}</t>
  </si>
  <si>
    <t>{handilbakti_tm3_bminormal}</t>
  </si>
  <si>
    <t>{handilbakti_tm3_bmigemuk}</t>
  </si>
  <si>
    <t>{handilbakti_tm3_bmiobesitas}</t>
  </si>
  <si>
    <t>{total_tm1_liladiperiksa}</t>
  </si>
  <si>
    <t>{total_tm1_bmikurus}</t>
  </si>
  <si>
    <t>{total_tm1_bminormal}</t>
  </si>
  <si>
    <t>{total_tm1_bmigemuk}</t>
  </si>
  <si>
    <t>{total_tm1_bmiobesitas}</t>
  </si>
  <si>
    <t>{total_tm2_liladiperiksa}</t>
  </si>
  <si>
    <t>{total_tm2_bmikurus}</t>
  </si>
  <si>
    <t>{total_tm2_bminormal}</t>
  </si>
  <si>
    <t>{total_tm2_bmigemuk}</t>
  </si>
  <si>
    <t>{total_tm2_bmiobesitas}</t>
  </si>
  <si>
    <t>{total_tm3_liladiperiksa}</t>
  </si>
  <si>
    <t>{total_tm3_bmikurus}</t>
  </si>
  <si>
    <t>{total_tm3_bminormal}</t>
  </si>
  <si>
    <t>{total_tm3_bmigemuk}</t>
  </si>
  <si>
    <t>{total_tm3_bmiobesitas}</t>
  </si>
  <si>
    <t>skriningproteinurin</t>
  </si>
  <si>
    <t>positif+1</t>
  </si>
  <si>
    <t>positif+2</t>
  </si>
  <si>
    <t>positif+3</t>
  </si>
  <si>
    <t>positif+4</t>
  </si>
  <si>
    <t>diperiksaguladarah</t>
  </si>
  <si>
    <t>guladarah_sedang</t>
  </si>
  <si>
    <t>guladarah_berat</t>
  </si>
  <si>
    <t>guladarah_ringan</t>
  </si>
  <si>
    <t>diperiksaahiv</t>
  </si>
  <si>
    <t>hivpositif</t>
  </si>
  <si>
    <t>bumil_mendapatart</t>
  </si>
  <si>
    <t>hiv_persalinannormal</t>
  </si>
  <si>
    <t>hiv_persalinansectio</t>
  </si>
  <si>
    <t>diperiksamalaria</t>
  </si>
  <si>
    <t>positifmalaria</t>
  </si>
  <si>
    <t>malariatatalaksana</t>
  </si>
  <si>
    <t>diperiksacacingan</t>
  </si>
  <si>
    <t>positifcacingan</t>
  </si>
  <si>
    <t>cacingantatalaksana</t>
  </si>
  <si>
    <t>diperiksaims</t>
  </si>
  <si>
    <t>positifims</t>
  </si>
  <si>
    <t>imstatalaksana</t>
  </si>
  <si>
    <t>diperiksahbsag</t>
  </si>
  <si>
    <t>positifhbsag</t>
  </si>
  <si>
    <t>hbsagtatalaksana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</si>
</sst>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2" borderId="1" xfId="0" applyFill="1" applyBorder="1" applyAlignment="1">
      <alignment horizontal="center" wrapText="1"/>
    </xf>
    <xf numFmtId="0" fontId="0" fillId="13" borderId="1" xfId="0" applyFill="1" applyBorder="1" applyAlignment="1">
      <alignment horizontal="center" wrapText="1"/>
    </xf>
    <xf numFmtId="0" fontId="0" fillId="14" borderId="1" xfId="0" applyFill="1" applyBorder="1" applyAlignment="1">
      <alignment horizontal="center" wrapText="1"/>
    </xf>
    <xf numFmtId="0" fontId="0" fillId="15" borderId="1" xfId="0" applyFill="1" applyBorder="1" applyAlignment="1">
      <alignment horizontal="center" wrapText="1"/>
    </xf>
    <xf numFmtId="0" fontId="0" fillId="16" borderId="1" xfId="0" applyFill="1" applyBorder="1" applyAlignment="1">
      <alignment horizont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5" fillId="19" borderId="1" xfId="0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5" fillId="19" borderId="5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wrapText="1"/>
    </xf>
    <xf numFmtId="0" fontId="0" fillId="20" borderId="1" xfId="0" applyFill="1" applyBorder="1" applyAlignment="1">
      <alignment horizontal="center" wrapText="1"/>
    </xf>
    <xf numFmtId="0" fontId="0" fillId="8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wrapText="1"/>
    </xf>
    <xf numFmtId="0" fontId="0" fillId="7" borderId="1" xfId="0" applyFill="1" applyBorder="1" applyAlignment="1">
      <alignment horizont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wrapText="1"/>
    </xf>
    <xf numFmtId="0" fontId="0" fillId="11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/>
    </xf>
    <xf numFmtId="0" fontId="0" fillId="18" borderId="6" xfId="0" applyFill="1" applyBorder="1" applyAlignment="1">
      <alignment horizontal="center" vertical="center" wrapText="1"/>
    </xf>
    <xf numFmtId="0" fontId="0" fillId="18" borderId="7" xfId="0" applyFill="1" applyBorder="1" applyAlignment="1">
      <alignment horizontal="center" vertical="center" wrapText="1"/>
    </xf>
    <xf numFmtId="0" fontId="0" fillId="18" borderId="8" xfId="0" applyFill="1" applyBorder="1" applyAlignment="1">
      <alignment horizontal="center" vertical="center" wrapText="1"/>
    </xf>
    <xf numFmtId="0" fontId="0" fillId="18" borderId="9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wrapText="1"/>
    </xf>
    <xf numFmtId="0" fontId="0" fillId="12" borderId="1" xfId="0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wrapText="1"/>
    </xf>
    <xf numFmtId="0" fontId="0" fillId="13" borderId="1" xfId="0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/>
    </xf>
    <xf numFmtId="0" fontId="0" fillId="14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17" borderId="1" xfId="0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/>
    </xf>
    <xf numFmtId="0" fontId="0" fillId="16" borderId="1" xfId="0" applyFill="1" applyBorder="1" applyAlignment="1">
      <alignment horizontal="center" wrapText="1"/>
    </xf>
    <xf numFmtId="0" fontId="2" fillId="16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/>
    </xf>
    <xf numFmtId="0" fontId="1" fillId="2" borderId="0" xfId="0" applyFont="1" applyFill="1" applyBorder="1"/>
    <xf numFmtId="0" fontId="2" fillId="14" borderId="2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0DA"/>
      <color rgb="FFFCD5B4"/>
      <color rgb="FFC4BD97"/>
      <color rgb="FFE6B8B7"/>
      <color rgb="FFD8E4BC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35FC-F1A8-4D79-A324-8FE573694BB9}">
  <sheetPr codeName="Sheet1">
    <tabColor theme="8"/>
  </sheetPr>
  <dimension ref="A1:P24"/>
  <sheetViews>
    <sheetView showGridLines="0" zoomScale="80" zoomScaleNormal="80" workbookViewId="0">
      <selection activeCell="B18" sqref="B18"/>
    </sheetView>
  </sheetViews>
  <sheetFormatPr defaultRowHeight="14.4" x14ac:dyDescent="0.3"/>
  <cols>
    <col min="1" max="1" width="8.88671875" customWidth="1"/>
    <col min="2" max="2" width="46" style="3" customWidth="1"/>
    <col min="3" max="3" width="23.33203125" style="4" customWidth="1"/>
    <col min="4" max="4" width="16.77734375" customWidth="1"/>
    <col min="5" max="5" width="15.6640625" customWidth="1"/>
    <col min="6" max="6" width="14.44140625" customWidth="1"/>
    <col min="7" max="8" width="18.77734375" customWidth="1"/>
    <col min="9" max="9" width="14.88671875" customWidth="1"/>
    <col min="10" max="10" width="13.88671875" bestFit="1" customWidth="1"/>
    <col min="11" max="11" width="13.21875" customWidth="1"/>
    <col min="12" max="12" width="16" customWidth="1"/>
    <col min="13" max="13" width="9.33203125" customWidth="1"/>
    <col min="14" max="14" width="11.77734375" bestFit="1" customWidth="1"/>
    <col min="15" max="15" width="10.77734375" bestFit="1" customWidth="1"/>
    <col min="16" max="16" width="11.109375" bestFit="1" customWidth="1"/>
  </cols>
  <sheetData>
    <row r="1" spans="1:16" s="1" customFormat="1" ht="15.6" x14ac:dyDescent="0.3">
      <c r="A1" s="1" t="s">
        <v>0</v>
      </c>
      <c r="B1" s="2"/>
      <c r="C1" s="5" t="s">
        <v>2</v>
      </c>
    </row>
    <row r="2" spans="1:16" s="1" customFormat="1" ht="15.6" x14ac:dyDescent="0.3">
      <c r="A2" s="1" t="s">
        <v>1</v>
      </c>
      <c r="B2" s="2"/>
      <c r="C2" s="5"/>
    </row>
    <row r="3" spans="1:16" s="1" customFormat="1" ht="15.6" x14ac:dyDescent="0.3">
      <c r="B3" s="2"/>
      <c r="C3" s="5"/>
    </row>
    <row r="4" spans="1:16" x14ac:dyDescent="0.3">
      <c r="A4" s="23" t="s">
        <v>3</v>
      </c>
      <c r="B4" s="22" t="s">
        <v>4</v>
      </c>
      <c r="C4" s="23" t="s">
        <v>5</v>
      </c>
      <c r="D4" s="23" t="s">
        <v>125</v>
      </c>
      <c r="E4" s="25" t="s">
        <v>143</v>
      </c>
      <c r="F4" s="23" t="s">
        <v>126</v>
      </c>
      <c r="G4" s="23" t="s">
        <v>124</v>
      </c>
      <c r="H4" s="25" t="s">
        <v>129</v>
      </c>
      <c r="I4" s="25" t="s">
        <v>144</v>
      </c>
      <c r="J4" s="23" t="s">
        <v>127</v>
      </c>
      <c r="K4" s="25" t="s">
        <v>145</v>
      </c>
      <c r="L4" s="25" t="s">
        <v>146</v>
      </c>
      <c r="M4" s="21" t="s">
        <v>128</v>
      </c>
      <c r="N4" s="25" t="s">
        <v>130</v>
      </c>
      <c r="O4" s="25" t="s">
        <v>131</v>
      </c>
      <c r="P4" s="25" t="s">
        <v>132</v>
      </c>
    </row>
    <row r="5" spans="1:16" ht="15.6" x14ac:dyDescent="0.3">
      <c r="A5" s="66" t="s">
        <v>283</v>
      </c>
      <c r="B5" s="3" t="s">
        <v>284</v>
      </c>
      <c r="C5" s="4" t="s">
        <v>285</v>
      </c>
      <c r="D5" t="s">
        <v>286</v>
      </c>
      <c r="E5" t="s">
        <v>287</v>
      </c>
      <c r="F5" t="s">
        <v>288</v>
      </c>
      <c r="G5" t="s">
        <v>289</v>
      </c>
      <c r="H5" t="s">
        <v>290</v>
      </c>
      <c r="I5" t="s">
        <v>291</v>
      </c>
      <c r="J5" t="s">
        <v>292</v>
      </c>
      <c r="K5" t="s">
        <v>293</v>
      </c>
      <c r="L5" t="s">
        <v>294</v>
      </c>
      <c r="M5" t="s">
        <v>295</v>
      </c>
      <c r="N5" t="s">
        <v>296</v>
      </c>
      <c r="O5" t="s">
        <v>297</v>
      </c>
      <c r="P5" t="s">
        <v>298</v>
      </c>
    </row>
    <row r="24" spans="2:2" x14ac:dyDescent="0.3">
      <c r="B24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978B-6596-45E1-A588-450F7F86C4F2}">
  <sheetPr codeName="Sheet2">
    <tabColor theme="9"/>
  </sheetPr>
  <dimension ref="A1:AX10"/>
  <sheetViews>
    <sheetView showGridLines="0" zoomScale="90" zoomScaleNormal="90" workbookViewId="0">
      <pane xSplit="4" topLeftCell="AD1" activePane="topRight" state="frozen"/>
      <selection activeCell="K20" sqref="K20"/>
      <selection pane="topRight" activeCell="AI28" sqref="AI28"/>
    </sheetView>
  </sheetViews>
  <sheetFormatPr defaultRowHeight="14.4" x14ac:dyDescent="0.3"/>
  <cols>
    <col min="1" max="1" width="15.6640625" customWidth="1"/>
  </cols>
  <sheetData>
    <row r="1" spans="1:50" s="1" customFormat="1" ht="15.6" x14ac:dyDescent="0.3">
      <c r="A1" s="1" t="s">
        <v>0</v>
      </c>
      <c r="B1" s="2"/>
      <c r="C1" s="5" t="s">
        <v>2</v>
      </c>
    </row>
    <row r="2" spans="1:50" s="1" customFormat="1" ht="15.6" x14ac:dyDescent="0.3">
      <c r="A2" s="29" t="s">
        <v>1</v>
      </c>
      <c r="B2" s="29"/>
      <c r="C2" s="29"/>
    </row>
    <row r="3" spans="1:50" s="1" customFormat="1" ht="15.6" x14ac:dyDescent="0.3">
      <c r="A3" s="29"/>
      <c r="B3" s="29"/>
      <c r="C3" s="29"/>
    </row>
    <row r="4" spans="1:50" ht="15.6" customHeight="1" x14ac:dyDescent="0.3">
      <c r="A4" s="30" t="s">
        <v>6</v>
      </c>
      <c r="B4" s="30" t="s">
        <v>7</v>
      </c>
      <c r="C4" s="30"/>
      <c r="D4" s="30"/>
      <c r="E4" s="32" t="s">
        <v>11</v>
      </c>
      <c r="F4" s="32"/>
      <c r="G4" s="32" t="s">
        <v>14</v>
      </c>
      <c r="H4" s="32"/>
      <c r="I4" s="32" t="s">
        <v>15</v>
      </c>
      <c r="J4" s="32"/>
      <c r="K4" s="28" t="s">
        <v>16</v>
      </c>
      <c r="L4" s="28"/>
      <c r="M4" s="28" t="s">
        <v>17</v>
      </c>
      <c r="N4" s="28"/>
      <c r="O4" s="28" t="s">
        <v>20</v>
      </c>
      <c r="P4" s="28"/>
      <c r="Q4" s="28" t="s">
        <v>18</v>
      </c>
      <c r="R4" s="28"/>
      <c r="S4" s="28" t="s">
        <v>19</v>
      </c>
      <c r="T4" s="28"/>
      <c r="U4" s="28" t="s">
        <v>42</v>
      </c>
      <c r="V4" s="28"/>
      <c r="W4" s="28" t="s">
        <v>21</v>
      </c>
      <c r="X4" s="28"/>
      <c r="Y4" s="28" t="s">
        <v>22</v>
      </c>
      <c r="Z4" s="28"/>
      <c r="AA4" s="28" t="s">
        <v>23</v>
      </c>
      <c r="AB4" s="28"/>
      <c r="AC4" s="28" t="s">
        <v>24</v>
      </c>
      <c r="AD4" s="28"/>
      <c r="AE4" s="33" t="s">
        <v>25</v>
      </c>
      <c r="AF4" s="33"/>
      <c r="AG4" s="33" t="s">
        <v>26</v>
      </c>
      <c r="AH4" s="33"/>
      <c r="AI4" s="33" t="s">
        <v>27</v>
      </c>
      <c r="AJ4" s="33"/>
      <c r="AK4" s="33" t="s">
        <v>28</v>
      </c>
      <c r="AL4" s="33"/>
      <c r="AM4" s="33" t="s">
        <v>29</v>
      </c>
      <c r="AN4" s="33"/>
      <c r="AO4" s="33" t="s">
        <v>30</v>
      </c>
      <c r="AP4" s="33"/>
      <c r="AQ4" s="34" t="s">
        <v>31</v>
      </c>
      <c r="AR4" s="34"/>
      <c r="AS4" s="34" t="s">
        <v>32</v>
      </c>
      <c r="AT4" s="34"/>
      <c r="AU4" s="35" t="s">
        <v>33</v>
      </c>
      <c r="AV4" s="35"/>
      <c r="AW4" s="35"/>
      <c r="AX4" s="35"/>
    </row>
    <row r="5" spans="1:50" x14ac:dyDescent="0.3">
      <c r="A5" s="30"/>
      <c r="B5" s="31" t="s">
        <v>8</v>
      </c>
      <c r="C5" s="31" t="s">
        <v>9</v>
      </c>
      <c r="D5" s="31" t="s">
        <v>10</v>
      </c>
      <c r="E5" s="32"/>
      <c r="F5" s="32"/>
      <c r="G5" s="32"/>
      <c r="H5" s="32"/>
      <c r="I5" s="32"/>
      <c r="J5" s="32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4"/>
      <c r="AR5" s="34"/>
      <c r="AS5" s="34"/>
      <c r="AT5" s="34"/>
      <c r="AU5" s="36" t="s">
        <v>34</v>
      </c>
      <c r="AV5" s="37" t="s">
        <v>13</v>
      </c>
      <c r="AW5" s="36" t="s">
        <v>313</v>
      </c>
      <c r="AX5" s="37" t="s">
        <v>13</v>
      </c>
    </row>
    <row r="6" spans="1:50" x14ac:dyDescent="0.3">
      <c r="A6" s="30"/>
      <c r="B6" s="31"/>
      <c r="C6" s="31"/>
      <c r="D6" s="31"/>
      <c r="E6" s="10" t="s">
        <v>12</v>
      </c>
      <c r="F6" s="10" t="s">
        <v>13</v>
      </c>
      <c r="G6" s="10" t="s">
        <v>12</v>
      </c>
      <c r="H6" s="10" t="s">
        <v>13</v>
      </c>
      <c r="I6" s="10" t="s">
        <v>12</v>
      </c>
      <c r="J6" s="10" t="s">
        <v>13</v>
      </c>
      <c r="K6" s="11" t="s">
        <v>12</v>
      </c>
      <c r="L6" s="11" t="s">
        <v>13</v>
      </c>
      <c r="M6" s="11" t="s">
        <v>12</v>
      </c>
      <c r="N6" s="11" t="s">
        <v>13</v>
      </c>
      <c r="O6" s="11" t="s">
        <v>12</v>
      </c>
      <c r="P6" s="11" t="s">
        <v>13</v>
      </c>
      <c r="Q6" s="11" t="s">
        <v>12</v>
      </c>
      <c r="R6" s="11" t="s">
        <v>13</v>
      </c>
      <c r="S6" s="11" t="s">
        <v>12</v>
      </c>
      <c r="T6" s="11" t="s">
        <v>13</v>
      </c>
      <c r="U6" s="11" t="s">
        <v>12</v>
      </c>
      <c r="V6" s="11" t="s">
        <v>13</v>
      </c>
      <c r="W6" s="11" t="s">
        <v>12</v>
      </c>
      <c r="X6" s="11" t="s">
        <v>13</v>
      </c>
      <c r="Y6" s="11" t="s">
        <v>12</v>
      </c>
      <c r="Z6" s="11" t="s">
        <v>13</v>
      </c>
      <c r="AA6" s="11" t="s">
        <v>12</v>
      </c>
      <c r="AB6" s="11" t="s">
        <v>13</v>
      </c>
      <c r="AC6" s="11" t="s">
        <v>12</v>
      </c>
      <c r="AD6" s="11" t="s">
        <v>13</v>
      </c>
      <c r="AE6" s="12" t="s">
        <v>12</v>
      </c>
      <c r="AF6" s="12" t="s">
        <v>13</v>
      </c>
      <c r="AG6" s="12" t="s">
        <v>12</v>
      </c>
      <c r="AH6" s="12" t="s">
        <v>13</v>
      </c>
      <c r="AI6" s="12" t="s">
        <v>12</v>
      </c>
      <c r="AJ6" s="12" t="s">
        <v>13</v>
      </c>
      <c r="AK6" s="12" t="s">
        <v>12</v>
      </c>
      <c r="AL6" s="12" t="s">
        <v>13</v>
      </c>
      <c r="AM6" s="12" t="s">
        <v>12</v>
      </c>
      <c r="AN6" s="12" t="s">
        <v>13</v>
      </c>
      <c r="AO6" s="12" t="s">
        <v>12</v>
      </c>
      <c r="AP6" s="12" t="s">
        <v>13</v>
      </c>
      <c r="AQ6" s="13" t="s">
        <v>12</v>
      </c>
      <c r="AR6" s="13" t="s">
        <v>13</v>
      </c>
      <c r="AS6" s="13" t="s">
        <v>12</v>
      </c>
      <c r="AT6" s="13" t="s">
        <v>13</v>
      </c>
      <c r="AU6" s="36"/>
      <c r="AV6" s="37"/>
      <c r="AW6" s="36"/>
      <c r="AX6" s="37"/>
    </row>
    <row r="7" spans="1:50" x14ac:dyDescent="0.3">
      <c r="A7" s="6" t="s">
        <v>35</v>
      </c>
      <c r="B7" s="6" t="s">
        <v>147</v>
      </c>
      <c r="C7" s="6" t="s">
        <v>154</v>
      </c>
      <c r="D7" s="6" t="s">
        <v>155</v>
      </c>
      <c r="E7" s="6" t="s">
        <v>159</v>
      </c>
      <c r="F7" s="6" t="s">
        <v>163</v>
      </c>
      <c r="G7" s="6" t="s">
        <v>167</v>
      </c>
      <c r="H7" s="6" t="s">
        <v>171</v>
      </c>
      <c r="I7" s="6" t="s">
        <v>175</v>
      </c>
      <c r="J7" s="6" t="s">
        <v>179</v>
      </c>
      <c r="K7" s="6" t="s">
        <v>183</v>
      </c>
      <c r="L7" s="6" t="s">
        <v>187</v>
      </c>
      <c r="M7" s="6" t="s">
        <v>191</v>
      </c>
      <c r="N7" s="6" t="s">
        <v>195</v>
      </c>
      <c r="O7" s="6" t="s">
        <v>199</v>
      </c>
      <c r="P7" s="6" t="s">
        <v>203</v>
      </c>
      <c r="Q7" s="6" t="s">
        <v>207</v>
      </c>
      <c r="R7" s="6" t="s">
        <v>211</v>
      </c>
      <c r="S7" s="6" t="s">
        <v>215</v>
      </c>
      <c r="T7" s="6" t="s">
        <v>219</v>
      </c>
      <c r="U7" s="6" t="s">
        <v>299</v>
      </c>
      <c r="V7" s="6" t="s">
        <v>303</v>
      </c>
      <c r="W7" s="6" t="s">
        <v>314</v>
      </c>
      <c r="X7" s="6" t="s">
        <v>315</v>
      </c>
      <c r="Y7" s="6" t="s">
        <v>316</v>
      </c>
      <c r="Z7" s="6" t="s">
        <v>317</v>
      </c>
      <c r="AA7" s="6" t="s">
        <v>318</v>
      </c>
      <c r="AB7" s="6" t="s">
        <v>319</v>
      </c>
      <c r="AC7" s="6" t="s">
        <v>320</v>
      </c>
      <c r="AD7" s="6" t="s">
        <v>321</v>
      </c>
      <c r="AE7" s="6" t="s">
        <v>322</v>
      </c>
      <c r="AF7" s="6" t="s">
        <v>323</v>
      </c>
      <c r="AG7" s="6" t="s">
        <v>324</v>
      </c>
      <c r="AH7" s="6" t="s">
        <v>325</v>
      </c>
      <c r="AI7" s="6" t="s">
        <v>326</v>
      </c>
      <c r="AJ7" s="6" t="s">
        <v>327</v>
      </c>
      <c r="AK7" s="6" t="s">
        <v>328</v>
      </c>
      <c r="AL7" s="6" t="s">
        <v>329</v>
      </c>
      <c r="AM7" s="6" t="s">
        <v>330</v>
      </c>
      <c r="AN7" s="6" t="s">
        <v>331</v>
      </c>
      <c r="AO7" s="6" t="s">
        <v>332</v>
      </c>
      <c r="AP7" s="6" t="s">
        <v>333</v>
      </c>
      <c r="AQ7" s="6" t="s">
        <v>334</v>
      </c>
      <c r="AR7" s="6" t="s">
        <v>335</v>
      </c>
      <c r="AS7" s="6" t="s">
        <v>336</v>
      </c>
      <c r="AT7" s="6" t="s">
        <v>337</v>
      </c>
      <c r="AU7" s="6" t="s">
        <v>338</v>
      </c>
      <c r="AV7" s="6" t="s">
        <v>339</v>
      </c>
      <c r="AW7" s="6" t="s">
        <v>340</v>
      </c>
      <c r="AX7" s="6" t="s">
        <v>341</v>
      </c>
    </row>
    <row r="8" spans="1:50" x14ac:dyDescent="0.3">
      <c r="A8" s="7" t="s">
        <v>36</v>
      </c>
      <c r="B8" s="7" t="s">
        <v>148</v>
      </c>
      <c r="C8" s="7" t="s">
        <v>153</v>
      </c>
      <c r="D8" s="7" t="s">
        <v>156</v>
      </c>
      <c r="E8" s="7" t="s">
        <v>160</v>
      </c>
      <c r="F8" s="7" t="s">
        <v>164</v>
      </c>
      <c r="G8" s="7" t="s">
        <v>168</v>
      </c>
      <c r="H8" s="7" t="s">
        <v>172</v>
      </c>
      <c r="I8" s="7" t="s">
        <v>176</v>
      </c>
      <c r="J8" s="7" t="s">
        <v>180</v>
      </c>
      <c r="K8" s="7" t="s">
        <v>184</v>
      </c>
      <c r="L8" s="7" t="s">
        <v>188</v>
      </c>
      <c r="M8" s="7" t="s">
        <v>192</v>
      </c>
      <c r="N8" s="7" t="s">
        <v>196</v>
      </c>
      <c r="O8" s="7" t="s">
        <v>200</v>
      </c>
      <c r="P8" s="7" t="s">
        <v>204</v>
      </c>
      <c r="Q8" s="7" t="s">
        <v>208</v>
      </c>
      <c r="R8" s="7" t="s">
        <v>212</v>
      </c>
      <c r="S8" s="7" t="s">
        <v>216</v>
      </c>
      <c r="T8" s="7" t="s">
        <v>220</v>
      </c>
      <c r="U8" s="7" t="s">
        <v>300</v>
      </c>
      <c r="V8" s="7" t="s">
        <v>304</v>
      </c>
      <c r="W8" s="7" t="s">
        <v>342</v>
      </c>
      <c r="X8" s="7" t="s">
        <v>343</v>
      </c>
      <c r="Y8" s="7" t="s">
        <v>344</v>
      </c>
      <c r="Z8" s="7" t="s">
        <v>345</v>
      </c>
      <c r="AA8" s="7" t="s">
        <v>346</v>
      </c>
      <c r="AB8" s="7" t="s">
        <v>347</v>
      </c>
      <c r="AC8" s="7" t="s">
        <v>348</v>
      </c>
      <c r="AD8" s="7" t="s">
        <v>349</v>
      </c>
      <c r="AE8" s="7" t="s">
        <v>350</v>
      </c>
      <c r="AF8" s="7" t="s">
        <v>351</v>
      </c>
      <c r="AG8" s="7" t="s">
        <v>352</v>
      </c>
      <c r="AH8" s="7" t="s">
        <v>353</v>
      </c>
      <c r="AI8" s="7" t="s">
        <v>354</v>
      </c>
      <c r="AJ8" s="7" t="s">
        <v>355</v>
      </c>
      <c r="AK8" s="7" t="s">
        <v>356</v>
      </c>
      <c r="AL8" s="7" t="s">
        <v>357</v>
      </c>
      <c r="AM8" s="7" t="s">
        <v>358</v>
      </c>
      <c r="AN8" s="7" t="s">
        <v>359</v>
      </c>
      <c r="AO8" s="7" t="s">
        <v>360</v>
      </c>
      <c r="AP8" s="7" t="s">
        <v>361</v>
      </c>
      <c r="AQ8" s="7" t="s">
        <v>362</v>
      </c>
      <c r="AR8" s="7" t="s">
        <v>363</v>
      </c>
      <c r="AS8" s="7" t="s">
        <v>364</v>
      </c>
      <c r="AT8" s="7" t="s">
        <v>365</v>
      </c>
      <c r="AU8" s="7" t="s">
        <v>366</v>
      </c>
      <c r="AV8" s="7" t="s">
        <v>367</v>
      </c>
      <c r="AW8" s="7" t="s">
        <v>368</v>
      </c>
      <c r="AX8" s="7" t="s">
        <v>369</v>
      </c>
    </row>
    <row r="9" spans="1:50" x14ac:dyDescent="0.3">
      <c r="A9" s="6" t="s">
        <v>37</v>
      </c>
      <c r="B9" s="6" t="s">
        <v>149</v>
      </c>
      <c r="C9" s="6" t="s">
        <v>152</v>
      </c>
      <c r="D9" s="6" t="s">
        <v>157</v>
      </c>
      <c r="E9" s="6" t="s">
        <v>161</v>
      </c>
      <c r="F9" s="6" t="s">
        <v>165</v>
      </c>
      <c r="G9" s="6" t="s">
        <v>169</v>
      </c>
      <c r="H9" s="6" t="s">
        <v>173</v>
      </c>
      <c r="I9" s="6" t="s">
        <v>177</v>
      </c>
      <c r="J9" s="6" t="s">
        <v>181</v>
      </c>
      <c r="K9" s="6" t="s">
        <v>185</v>
      </c>
      <c r="L9" s="6" t="s">
        <v>189</v>
      </c>
      <c r="M9" s="6" t="s">
        <v>193</v>
      </c>
      <c r="N9" s="6" t="s">
        <v>197</v>
      </c>
      <c r="O9" s="6" t="s">
        <v>201</v>
      </c>
      <c r="P9" s="6" t="s">
        <v>205</v>
      </c>
      <c r="Q9" s="6" t="s">
        <v>209</v>
      </c>
      <c r="R9" s="6" t="s">
        <v>213</v>
      </c>
      <c r="S9" s="6" t="s">
        <v>217</v>
      </c>
      <c r="T9" s="6" t="s">
        <v>221</v>
      </c>
      <c r="U9" s="6" t="s">
        <v>301</v>
      </c>
      <c r="V9" s="6" t="s">
        <v>305</v>
      </c>
      <c r="W9" s="6" t="s">
        <v>370</v>
      </c>
      <c r="X9" s="6" t="s">
        <v>371</v>
      </c>
      <c r="Y9" s="6" t="s">
        <v>372</v>
      </c>
      <c r="Z9" s="6" t="s">
        <v>373</v>
      </c>
      <c r="AA9" s="6" t="s">
        <v>374</v>
      </c>
      <c r="AB9" s="6" t="s">
        <v>375</v>
      </c>
      <c r="AC9" s="6" t="s">
        <v>376</v>
      </c>
      <c r="AD9" s="6" t="s">
        <v>377</v>
      </c>
      <c r="AE9" s="6" t="s">
        <v>378</v>
      </c>
      <c r="AF9" s="6" t="s">
        <v>379</v>
      </c>
      <c r="AG9" s="6" t="s">
        <v>380</v>
      </c>
      <c r="AH9" s="6" t="s">
        <v>381</v>
      </c>
      <c r="AI9" s="6" t="s">
        <v>382</v>
      </c>
      <c r="AJ9" s="6" t="s">
        <v>383</v>
      </c>
      <c r="AK9" s="6" t="s">
        <v>384</v>
      </c>
      <c r="AL9" s="6" t="s">
        <v>385</v>
      </c>
      <c r="AM9" s="6" t="s">
        <v>386</v>
      </c>
      <c r="AN9" s="6" t="s">
        <v>387</v>
      </c>
      <c r="AO9" s="6" t="s">
        <v>388</v>
      </c>
      <c r="AP9" s="6" t="s">
        <v>389</v>
      </c>
      <c r="AQ9" s="6" t="s">
        <v>390</v>
      </c>
      <c r="AR9" s="6" t="s">
        <v>391</v>
      </c>
      <c r="AS9" s="6" t="s">
        <v>392</v>
      </c>
      <c r="AT9" s="6" t="s">
        <v>393</v>
      </c>
      <c r="AU9" s="6" t="s">
        <v>394</v>
      </c>
      <c r="AV9" s="6" t="s">
        <v>395</v>
      </c>
      <c r="AW9" s="6" t="s">
        <v>396</v>
      </c>
      <c r="AX9" s="6" t="s">
        <v>397</v>
      </c>
    </row>
    <row r="10" spans="1:50" x14ac:dyDescent="0.3">
      <c r="A10" s="8" t="s">
        <v>38</v>
      </c>
      <c r="B10" s="9" t="s">
        <v>150</v>
      </c>
      <c r="C10" s="9" t="s">
        <v>151</v>
      </c>
      <c r="D10" s="9" t="s">
        <v>158</v>
      </c>
      <c r="E10" s="9" t="s">
        <v>162</v>
      </c>
      <c r="F10" s="9" t="s">
        <v>166</v>
      </c>
      <c r="G10" s="9" t="s">
        <v>170</v>
      </c>
      <c r="H10" s="9" t="s">
        <v>174</v>
      </c>
      <c r="I10" s="9" t="s">
        <v>178</v>
      </c>
      <c r="J10" s="9" t="s">
        <v>182</v>
      </c>
      <c r="K10" s="9" t="s">
        <v>186</v>
      </c>
      <c r="L10" s="9" t="s">
        <v>190</v>
      </c>
      <c r="M10" s="9" t="s">
        <v>194</v>
      </c>
      <c r="N10" s="9" t="s">
        <v>198</v>
      </c>
      <c r="O10" s="9" t="s">
        <v>202</v>
      </c>
      <c r="P10" s="9" t="s">
        <v>206</v>
      </c>
      <c r="Q10" s="9" t="s">
        <v>210</v>
      </c>
      <c r="R10" s="9" t="s">
        <v>214</v>
      </c>
      <c r="S10" s="9" t="s">
        <v>218</v>
      </c>
      <c r="T10" s="9" t="s">
        <v>222</v>
      </c>
      <c r="U10" s="9" t="s">
        <v>302</v>
      </c>
      <c r="V10" s="9" t="s">
        <v>306</v>
      </c>
      <c r="W10" s="9" t="s">
        <v>398</v>
      </c>
      <c r="X10" s="9" t="s">
        <v>399</v>
      </c>
      <c r="Y10" s="9" t="s">
        <v>400</v>
      </c>
      <c r="Z10" s="9" t="s">
        <v>401</v>
      </c>
      <c r="AA10" s="9" t="s">
        <v>402</v>
      </c>
      <c r="AB10" s="9" t="s">
        <v>403</v>
      </c>
      <c r="AC10" s="9" t="s">
        <v>404</v>
      </c>
      <c r="AD10" s="9" t="s">
        <v>405</v>
      </c>
      <c r="AE10" s="9" t="s">
        <v>406</v>
      </c>
      <c r="AF10" s="9" t="s">
        <v>407</v>
      </c>
      <c r="AG10" s="9" t="s">
        <v>408</v>
      </c>
      <c r="AH10" s="9" t="s">
        <v>409</v>
      </c>
      <c r="AI10" s="9" t="s">
        <v>410</v>
      </c>
      <c r="AJ10" s="9" t="s">
        <v>411</v>
      </c>
      <c r="AK10" s="9" t="s">
        <v>412</v>
      </c>
      <c r="AL10" s="9" t="s">
        <v>413</v>
      </c>
      <c r="AM10" s="9" t="s">
        <v>414</v>
      </c>
      <c r="AN10" s="9" t="s">
        <v>415</v>
      </c>
      <c r="AO10" s="9" t="s">
        <v>416</v>
      </c>
      <c r="AP10" s="9" t="s">
        <v>417</v>
      </c>
      <c r="AQ10" s="9" t="s">
        <v>418</v>
      </c>
      <c r="AR10" s="9" t="s">
        <v>419</v>
      </c>
      <c r="AS10" s="9" t="s">
        <v>420</v>
      </c>
      <c r="AT10" s="9" t="s">
        <v>421</v>
      </c>
      <c r="AU10" s="9" t="s">
        <v>422</v>
      </c>
      <c r="AV10" s="9" t="s">
        <v>423</v>
      </c>
      <c r="AW10" s="9" t="s">
        <v>424</v>
      </c>
      <c r="AX10" s="9" t="s">
        <v>425</v>
      </c>
    </row>
  </sheetData>
  <mergeCells count="32">
    <mergeCell ref="AQ4:AR5"/>
    <mergeCell ref="AS4:AT5"/>
    <mergeCell ref="AU4:AX4"/>
    <mergeCell ref="AU5:AU6"/>
    <mergeCell ref="AV5:AV6"/>
    <mergeCell ref="AW5:AW6"/>
    <mergeCell ref="AX5:AX6"/>
    <mergeCell ref="AO4:AP5"/>
    <mergeCell ref="Q4:R5"/>
    <mergeCell ref="S4:T5"/>
    <mergeCell ref="W4:X5"/>
    <mergeCell ref="Y4:Z5"/>
    <mergeCell ref="AA4:AB5"/>
    <mergeCell ref="AC4:AD5"/>
    <mergeCell ref="U4:V5"/>
    <mergeCell ref="AE4:AF5"/>
    <mergeCell ref="AG4:AH5"/>
    <mergeCell ref="AI4:AJ5"/>
    <mergeCell ref="AK4:AL5"/>
    <mergeCell ref="AM4:AN5"/>
    <mergeCell ref="O4:P5"/>
    <mergeCell ref="A2:C3"/>
    <mergeCell ref="B4:D4"/>
    <mergeCell ref="B5:B6"/>
    <mergeCell ref="C5:C6"/>
    <mergeCell ref="D5:D6"/>
    <mergeCell ref="A4:A6"/>
    <mergeCell ref="E4:F5"/>
    <mergeCell ref="G4:H5"/>
    <mergeCell ref="I4:J5"/>
    <mergeCell ref="K4:L5"/>
    <mergeCell ref="M4:N5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C6C08-9968-4095-ABFE-EA0319244926}">
  <sheetPr codeName="Sheet3">
    <tabColor theme="9"/>
  </sheetPr>
  <dimension ref="A1:EZ19"/>
  <sheetViews>
    <sheetView showGridLines="0" tabSelected="1" zoomScale="90" zoomScaleNormal="90" workbookViewId="0">
      <pane xSplit="6" topLeftCell="EH1" activePane="topRight" state="frozen"/>
      <selection activeCell="R16" sqref="R16"/>
      <selection pane="topRight" activeCell="ET22" sqref="ET22"/>
    </sheetView>
  </sheetViews>
  <sheetFormatPr defaultRowHeight="14.4" x14ac:dyDescent="0.3"/>
  <cols>
    <col min="1" max="1" width="15.6640625" customWidth="1"/>
  </cols>
  <sheetData>
    <row r="1" spans="1:156" s="1" customFormat="1" ht="15.6" x14ac:dyDescent="0.3">
      <c r="A1" s="1" t="s">
        <v>0</v>
      </c>
      <c r="B1" s="2"/>
      <c r="C1" s="5" t="s">
        <v>2</v>
      </c>
    </row>
    <row r="2" spans="1:156" s="1" customFormat="1" ht="15.6" x14ac:dyDescent="0.3">
      <c r="A2" s="29" t="s">
        <v>1</v>
      </c>
      <c r="B2" s="29"/>
      <c r="C2" s="29"/>
    </row>
    <row r="3" spans="1:156" s="1" customFormat="1" ht="15.6" x14ac:dyDescent="0.3">
      <c r="A3" s="29"/>
      <c r="B3" s="29"/>
      <c r="C3" s="29"/>
    </row>
    <row r="4" spans="1:156" ht="15.6" customHeight="1" x14ac:dyDescent="0.3">
      <c r="A4" s="30" t="s">
        <v>6</v>
      </c>
      <c r="B4" s="46" t="s">
        <v>7</v>
      </c>
      <c r="C4" s="47"/>
      <c r="D4" s="47"/>
      <c r="E4" s="47"/>
      <c r="F4" s="48"/>
      <c r="G4" s="49" t="s">
        <v>48</v>
      </c>
      <c r="H4" s="49"/>
      <c r="I4" s="49"/>
      <c r="J4" s="49"/>
      <c r="K4" s="49"/>
      <c r="L4" s="49" t="s">
        <v>49</v>
      </c>
      <c r="M4" s="49"/>
      <c r="N4" s="49"/>
      <c r="O4" s="49"/>
      <c r="P4" s="49"/>
      <c r="Q4" s="49" t="s">
        <v>50</v>
      </c>
      <c r="R4" s="49"/>
      <c r="S4" s="49"/>
      <c r="T4" s="49"/>
      <c r="U4" s="49"/>
      <c r="V4" s="45" t="s">
        <v>51</v>
      </c>
      <c r="W4" s="45"/>
      <c r="X4" s="45" t="s">
        <v>52</v>
      </c>
      <c r="Y4" s="45"/>
      <c r="Z4" s="45" t="s">
        <v>53</v>
      </c>
      <c r="AA4" s="45"/>
      <c r="AB4" s="45" t="s">
        <v>54</v>
      </c>
      <c r="AC4" s="45"/>
      <c r="AD4" s="45" t="s">
        <v>55</v>
      </c>
      <c r="AE4" s="45"/>
      <c r="AF4" s="45" t="s">
        <v>56</v>
      </c>
      <c r="AG4" s="45"/>
      <c r="AH4" s="45" t="s">
        <v>57</v>
      </c>
      <c r="AI4" s="45"/>
      <c r="AJ4" s="45" t="s">
        <v>58</v>
      </c>
      <c r="AK4" s="45"/>
      <c r="AL4" s="51" t="s">
        <v>61</v>
      </c>
      <c r="AM4" s="51"/>
      <c r="AN4" s="51" t="s">
        <v>62</v>
      </c>
      <c r="AO4" s="51"/>
      <c r="AP4" s="51" t="s">
        <v>63</v>
      </c>
      <c r="AQ4" s="51"/>
      <c r="AR4" s="51" t="s">
        <v>64</v>
      </c>
      <c r="AS4" s="51"/>
      <c r="AT4" s="51" t="s">
        <v>65</v>
      </c>
      <c r="AU4" s="51"/>
      <c r="AV4" s="51" t="s">
        <v>66</v>
      </c>
      <c r="AW4" s="51"/>
      <c r="AX4" s="51" t="s">
        <v>67</v>
      </c>
      <c r="AY4" s="51"/>
      <c r="AZ4" s="51" t="s">
        <v>68</v>
      </c>
      <c r="BA4" s="51"/>
      <c r="BB4" s="51" t="s">
        <v>69</v>
      </c>
      <c r="BC4" s="51"/>
      <c r="BD4" s="51" t="s">
        <v>70</v>
      </c>
      <c r="BE4" s="51"/>
      <c r="BF4" s="51" t="s">
        <v>71</v>
      </c>
      <c r="BG4" s="51"/>
      <c r="BH4" s="51" t="s">
        <v>72</v>
      </c>
      <c r="BI4" s="51"/>
      <c r="BJ4" s="56" t="s">
        <v>48</v>
      </c>
      <c r="BK4" s="56"/>
      <c r="BL4" s="56"/>
      <c r="BM4" s="56"/>
      <c r="BN4" s="56"/>
      <c r="BO4" s="56" t="s">
        <v>49</v>
      </c>
      <c r="BP4" s="56"/>
      <c r="BQ4" s="56"/>
      <c r="BR4" s="56"/>
      <c r="BS4" s="56"/>
      <c r="BT4" s="56" t="s">
        <v>50</v>
      </c>
      <c r="BU4" s="56"/>
      <c r="BV4" s="56"/>
      <c r="BW4" s="56"/>
      <c r="BX4" s="56"/>
      <c r="BY4" s="53" t="s">
        <v>75</v>
      </c>
      <c r="BZ4" s="53"/>
      <c r="CA4" s="53" t="s">
        <v>76</v>
      </c>
      <c r="CB4" s="53"/>
      <c r="CC4" s="53" t="s">
        <v>77</v>
      </c>
      <c r="CD4" s="53"/>
      <c r="CE4" s="53" t="s">
        <v>78</v>
      </c>
      <c r="CF4" s="53"/>
      <c r="CG4" s="53" t="s">
        <v>79</v>
      </c>
      <c r="CH4" s="53"/>
      <c r="CI4" s="54" t="s">
        <v>81</v>
      </c>
      <c r="CJ4" s="54"/>
      <c r="CK4" s="54" t="s">
        <v>82</v>
      </c>
      <c r="CL4" s="54"/>
      <c r="CM4" s="54" t="s">
        <v>83</v>
      </c>
      <c r="CN4" s="54"/>
      <c r="CO4" s="54" t="s">
        <v>84</v>
      </c>
      <c r="CP4" s="54"/>
      <c r="CQ4" s="60" t="s">
        <v>86</v>
      </c>
      <c r="CR4" s="60"/>
      <c r="CS4" s="60" t="s">
        <v>87</v>
      </c>
      <c r="CT4" s="60"/>
      <c r="CU4" s="60" t="s">
        <v>88</v>
      </c>
      <c r="CV4" s="60"/>
      <c r="CW4" s="61" t="s">
        <v>89</v>
      </c>
      <c r="CX4" s="61"/>
      <c r="CY4" s="57" t="s">
        <v>92</v>
      </c>
      <c r="CZ4" s="57"/>
      <c r="DA4" s="57" t="s">
        <v>93</v>
      </c>
      <c r="DB4" s="57"/>
      <c r="DC4" s="57" t="s">
        <v>94</v>
      </c>
      <c r="DD4" s="57"/>
      <c r="DE4" s="45" t="s">
        <v>97</v>
      </c>
      <c r="DF4" s="45"/>
      <c r="DG4" s="45" t="s">
        <v>98</v>
      </c>
      <c r="DH4" s="45"/>
      <c r="DI4" s="45" t="s">
        <v>99</v>
      </c>
      <c r="DJ4" s="45"/>
      <c r="DK4" s="57" t="s">
        <v>101</v>
      </c>
      <c r="DL4" s="57"/>
      <c r="DM4" s="57" t="s">
        <v>102</v>
      </c>
      <c r="DN4" s="57"/>
      <c r="DO4" s="57" t="s">
        <v>99</v>
      </c>
      <c r="DP4" s="57"/>
      <c r="DQ4" s="51" t="s">
        <v>104</v>
      </c>
      <c r="DR4" s="51"/>
      <c r="DS4" s="51" t="s">
        <v>105</v>
      </c>
      <c r="DT4" s="51"/>
      <c r="DU4" s="51" t="s">
        <v>99</v>
      </c>
      <c r="DV4" s="51"/>
      <c r="DW4" s="38" t="s">
        <v>140</v>
      </c>
      <c r="DX4" s="38"/>
      <c r="DY4" s="38" t="s">
        <v>107</v>
      </c>
      <c r="DZ4" s="38"/>
      <c r="EA4" s="38" t="s">
        <v>108</v>
      </c>
      <c r="EB4" s="38"/>
      <c r="EC4" s="38" t="s">
        <v>109</v>
      </c>
      <c r="ED4" s="38"/>
      <c r="EE4" s="38" t="s">
        <v>110</v>
      </c>
      <c r="EF4" s="38"/>
      <c r="EG4" s="38" t="s">
        <v>111</v>
      </c>
      <c r="EH4" s="38"/>
      <c r="EI4" s="38" t="s">
        <v>142</v>
      </c>
      <c r="EJ4" s="38"/>
      <c r="EK4" s="38" t="s">
        <v>112</v>
      </c>
      <c r="EL4" s="38"/>
      <c r="EM4" s="40" t="s">
        <v>113</v>
      </c>
      <c r="EN4" s="41"/>
      <c r="EO4" s="40" t="s">
        <v>114</v>
      </c>
      <c r="EP4" s="41"/>
      <c r="EQ4" s="40" t="s">
        <v>115</v>
      </c>
      <c r="ER4" s="41"/>
      <c r="ES4" s="40" t="s">
        <v>116</v>
      </c>
      <c r="ET4" s="41"/>
      <c r="EU4" s="40" t="s">
        <v>117</v>
      </c>
      <c r="EV4" s="41"/>
      <c r="EW4" s="40" t="s">
        <v>118</v>
      </c>
      <c r="EX4" s="41"/>
      <c r="EY4" s="38" t="s">
        <v>119</v>
      </c>
      <c r="EZ4" s="38"/>
    </row>
    <row r="5" spans="1:156" ht="14.4" customHeight="1" x14ac:dyDescent="0.3">
      <c r="A5" s="30"/>
      <c r="B5" s="44" t="s">
        <v>8</v>
      </c>
      <c r="C5" s="44" t="s">
        <v>9</v>
      </c>
      <c r="D5" s="44" t="s">
        <v>39</v>
      </c>
      <c r="E5" s="44" t="s">
        <v>40</v>
      </c>
      <c r="F5" s="44" t="s">
        <v>41</v>
      </c>
      <c r="G5" s="45" t="s">
        <v>43</v>
      </c>
      <c r="H5" s="45" t="s">
        <v>44</v>
      </c>
      <c r="I5" s="45" t="s">
        <v>45</v>
      </c>
      <c r="J5" s="45" t="s">
        <v>46</v>
      </c>
      <c r="K5" s="45" t="s">
        <v>47</v>
      </c>
      <c r="L5" s="45" t="s">
        <v>43</v>
      </c>
      <c r="M5" s="45" t="s">
        <v>44</v>
      </c>
      <c r="N5" s="45" t="s">
        <v>45</v>
      </c>
      <c r="O5" s="45" t="s">
        <v>46</v>
      </c>
      <c r="P5" s="45" t="s">
        <v>47</v>
      </c>
      <c r="Q5" s="45" t="s">
        <v>43</v>
      </c>
      <c r="R5" s="45" t="s">
        <v>44</v>
      </c>
      <c r="S5" s="45" t="s">
        <v>45</v>
      </c>
      <c r="T5" s="45" t="s">
        <v>46</v>
      </c>
      <c r="U5" s="45" t="s">
        <v>47</v>
      </c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0" t="s">
        <v>73</v>
      </c>
      <c r="BK5" s="50" t="s">
        <v>65</v>
      </c>
      <c r="BL5" s="50" t="s">
        <v>66</v>
      </c>
      <c r="BM5" s="50" t="s">
        <v>67</v>
      </c>
      <c r="BN5" s="50" t="s">
        <v>68</v>
      </c>
      <c r="BO5" s="50" t="s">
        <v>73</v>
      </c>
      <c r="BP5" s="50" t="s">
        <v>65</v>
      </c>
      <c r="BQ5" s="50" t="s">
        <v>66</v>
      </c>
      <c r="BR5" s="50" t="s">
        <v>67</v>
      </c>
      <c r="BS5" s="50" t="s">
        <v>68</v>
      </c>
      <c r="BT5" s="50" t="s">
        <v>73</v>
      </c>
      <c r="BU5" s="50" t="s">
        <v>65</v>
      </c>
      <c r="BV5" s="50" t="s">
        <v>66</v>
      </c>
      <c r="BW5" s="50" t="s">
        <v>67</v>
      </c>
      <c r="BX5" s="50" t="s">
        <v>68</v>
      </c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4"/>
      <c r="CJ5" s="54"/>
      <c r="CK5" s="54"/>
      <c r="CL5" s="54"/>
      <c r="CM5" s="54"/>
      <c r="CN5" s="54"/>
      <c r="CO5" s="54"/>
      <c r="CP5" s="54"/>
      <c r="CQ5" s="60"/>
      <c r="CR5" s="60"/>
      <c r="CS5" s="60"/>
      <c r="CT5" s="60"/>
      <c r="CU5" s="60"/>
      <c r="CV5" s="60"/>
      <c r="CW5" s="62" t="s">
        <v>90</v>
      </c>
      <c r="CX5" s="62" t="s">
        <v>91</v>
      </c>
      <c r="CY5" s="57"/>
      <c r="CZ5" s="57"/>
      <c r="DA5" s="57"/>
      <c r="DB5" s="57"/>
      <c r="DC5" s="57"/>
      <c r="DD5" s="57"/>
      <c r="DE5" s="45"/>
      <c r="DF5" s="45"/>
      <c r="DG5" s="45"/>
      <c r="DH5" s="45"/>
      <c r="DI5" s="45"/>
      <c r="DJ5" s="45"/>
      <c r="DK5" s="57"/>
      <c r="DL5" s="57"/>
      <c r="DM5" s="57"/>
      <c r="DN5" s="57"/>
      <c r="DO5" s="57"/>
      <c r="DP5" s="57"/>
      <c r="DQ5" s="51"/>
      <c r="DR5" s="51"/>
      <c r="DS5" s="51"/>
      <c r="DT5" s="51"/>
      <c r="DU5" s="51"/>
      <c r="DV5" s="51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42"/>
      <c r="EN5" s="43"/>
      <c r="EO5" s="42"/>
      <c r="EP5" s="43"/>
      <c r="EQ5" s="42"/>
      <c r="ER5" s="43"/>
      <c r="ES5" s="42"/>
      <c r="ET5" s="43"/>
      <c r="EU5" s="42"/>
      <c r="EV5" s="43"/>
      <c r="EW5" s="42"/>
      <c r="EX5" s="43"/>
      <c r="EY5" s="38"/>
      <c r="EZ5" s="38"/>
    </row>
    <row r="6" spans="1:156" ht="14.4" customHeight="1" x14ac:dyDescent="0.3">
      <c r="A6" s="30"/>
      <c r="B6" s="44"/>
      <c r="C6" s="44"/>
      <c r="D6" s="44"/>
      <c r="E6" s="44"/>
      <c r="F6" s="44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14" t="s">
        <v>51</v>
      </c>
      <c r="W6" s="14" t="s">
        <v>13</v>
      </c>
      <c r="X6" s="14" t="s">
        <v>51</v>
      </c>
      <c r="Y6" s="14" t="s">
        <v>13</v>
      </c>
      <c r="Z6" s="14" t="s">
        <v>51</v>
      </c>
      <c r="AA6" s="14" t="s">
        <v>13</v>
      </c>
      <c r="AB6" s="14" t="s">
        <v>51</v>
      </c>
      <c r="AC6" s="14" t="s">
        <v>13</v>
      </c>
      <c r="AD6" s="14" t="s">
        <v>51</v>
      </c>
      <c r="AE6" s="14" t="s">
        <v>13</v>
      </c>
      <c r="AF6" s="14" t="s">
        <v>51</v>
      </c>
      <c r="AG6" s="14" t="s">
        <v>13</v>
      </c>
      <c r="AH6" s="14" t="s">
        <v>51</v>
      </c>
      <c r="AI6" s="14" t="s">
        <v>13</v>
      </c>
      <c r="AJ6" s="14" t="s">
        <v>51</v>
      </c>
      <c r="AK6" s="14" t="s">
        <v>13</v>
      </c>
      <c r="AL6" s="15" t="s">
        <v>12</v>
      </c>
      <c r="AM6" s="15" t="s">
        <v>13</v>
      </c>
      <c r="AN6" s="15" t="s">
        <v>12</v>
      </c>
      <c r="AO6" s="15" t="s">
        <v>13</v>
      </c>
      <c r="AP6" s="15" t="s">
        <v>12</v>
      </c>
      <c r="AQ6" s="15" t="s">
        <v>13</v>
      </c>
      <c r="AR6" s="15" t="s">
        <v>12</v>
      </c>
      <c r="AS6" s="15" t="s">
        <v>13</v>
      </c>
      <c r="AT6" s="15" t="s">
        <v>12</v>
      </c>
      <c r="AU6" s="15" t="s">
        <v>13</v>
      </c>
      <c r="AV6" s="15" t="s">
        <v>12</v>
      </c>
      <c r="AW6" s="15" t="s">
        <v>13</v>
      </c>
      <c r="AX6" s="15" t="s">
        <v>12</v>
      </c>
      <c r="AY6" s="15" t="s">
        <v>13</v>
      </c>
      <c r="AZ6" s="15" t="s">
        <v>12</v>
      </c>
      <c r="BA6" s="15" t="s">
        <v>13</v>
      </c>
      <c r="BB6" s="15" t="s">
        <v>12</v>
      </c>
      <c r="BC6" s="15" t="s">
        <v>13</v>
      </c>
      <c r="BD6" s="15" t="s">
        <v>12</v>
      </c>
      <c r="BE6" s="15" t="s">
        <v>13</v>
      </c>
      <c r="BF6" s="15" t="s">
        <v>12</v>
      </c>
      <c r="BG6" s="15" t="s">
        <v>13</v>
      </c>
      <c r="BH6" s="15" t="s">
        <v>12</v>
      </c>
      <c r="BI6" s="15" t="s">
        <v>13</v>
      </c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16" t="s">
        <v>12</v>
      </c>
      <c r="BZ6" s="16" t="s">
        <v>13</v>
      </c>
      <c r="CA6" s="16" t="s">
        <v>12</v>
      </c>
      <c r="CB6" s="16" t="s">
        <v>13</v>
      </c>
      <c r="CC6" s="16" t="s">
        <v>12</v>
      </c>
      <c r="CD6" s="16" t="s">
        <v>13</v>
      </c>
      <c r="CE6" s="16" t="s">
        <v>12</v>
      </c>
      <c r="CF6" s="16" t="s">
        <v>13</v>
      </c>
      <c r="CG6" s="16" t="s">
        <v>12</v>
      </c>
      <c r="CH6" s="16" t="s">
        <v>13</v>
      </c>
      <c r="CI6" s="17" t="s">
        <v>12</v>
      </c>
      <c r="CJ6" s="17" t="s">
        <v>13</v>
      </c>
      <c r="CK6" s="17" t="s">
        <v>12</v>
      </c>
      <c r="CL6" s="17" t="s">
        <v>13</v>
      </c>
      <c r="CM6" s="17" t="s">
        <v>12</v>
      </c>
      <c r="CN6" s="17" t="s">
        <v>13</v>
      </c>
      <c r="CO6" s="17" t="s">
        <v>12</v>
      </c>
      <c r="CP6" s="17" t="s">
        <v>13</v>
      </c>
      <c r="CQ6" s="18" t="s">
        <v>12</v>
      </c>
      <c r="CR6" s="18" t="s">
        <v>13</v>
      </c>
      <c r="CS6" s="18" t="s">
        <v>12</v>
      </c>
      <c r="CT6" s="18" t="s">
        <v>13</v>
      </c>
      <c r="CU6" s="18" t="s">
        <v>12</v>
      </c>
      <c r="CV6" s="18" t="s">
        <v>13</v>
      </c>
      <c r="CW6" s="62"/>
      <c r="CX6" s="62"/>
      <c r="CY6" s="19" t="s">
        <v>12</v>
      </c>
      <c r="CZ6" s="19" t="s">
        <v>13</v>
      </c>
      <c r="DA6" s="19" t="s">
        <v>12</v>
      </c>
      <c r="DB6" s="19" t="s">
        <v>13</v>
      </c>
      <c r="DC6" s="19" t="s">
        <v>12</v>
      </c>
      <c r="DD6" s="19" t="s">
        <v>13</v>
      </c>
      <c r="DE6" s="14" t="s">
        <v>12</v>
      </c>
      <c r="DF6" s="14" t="s">
        <v>13</v>
      </c>
      <c r="DG6" s="14" t="s">
        <v>12</v>
      </c>
      <c r="DH6" s="14" t="s">
        <v>13</v>
      </c>
      <c r="DI6" s="14" t="s">
        <v>12</v>
      </c>
      <c r="DJ6" s="14" t="s">
        <v>13</v>
      </c>
      <c r="DK6" s="19" t="s">
        <v>12</v>
      </c>
      <c r="DL6" s="19" t="s">
        <v>13</v>
      </c>
      <c r="DM6" s="19" t="s">
        <v>12</v>
      </c>
      <c r="DN6" s="19" t="s">
        <v>13</v>
      </c>
      <c r="DO6" s="19" t="s">
        <v>12</v>
      </c>
      <c r="DP6" s="19" t="s">
        <v>13</v>
      </c>
      <c r="DQ6" s="15" t="s">
        <v>12</v>
      </c>
      <c r="DR6" s="15" t="s">
        <v>13</v>
      </c>
      <c r="DS6" s="15" t="s">
        <v>12</v>
      </c>
      <c r="DT6" s="15" t="s">
        <v>13</v>
      </c>
      <c r="DU6" s="15" t="s">
        <v>12</v>
      </c>
      <c r="DV6" s="15" t="s">
        <v>13</v>
      </c>
      <c r="DW6" s="20" t="s">
        <v>12</v>
      </c>
      <c r="DX6" s="20" t="s">
        <v>13</v>
      </c>
      <c r="DY6" s="20" t="s">
        <v>12</v>
      </c>
      <c r="DZ6" s="20" t="s">
        <v>13</v>
      </c>
      <c r="EA6" s="20" t="s">
        <v>12</v>
      </c>
      <c r="EB6" s="20" t="s">
        <v>13</v>
      </c>
      <c r="EC6" s="20" t="s">
        <v>12</v>
      </c>
      <c r="ED6" s="20" t="s">
        <v>13</v>
      </c>
      <c r="EE6" s="20" t="s">
        <v>12</v>
      </c>
      <c r="EF6" s="20" t="s">
        <v>13</v>
      </c>
      <c r="EG6" s="20" t="s">
        <v>12</v>
      </c>
      <c r="EH6" s="20" t="s">
        <v>13</v>
      </c>
      <c r="EI6" s="20" t="s">
        <v>12</v>
      </c>
      <c r="EJ6" s="20" t="s">
        <v>13</v>
      </c>
      <c r="EK6" s="20" t="s">
        <v>12</v>
      </c>
      <c r="EL6" s="20" t="s">
        <v>13</v>
      </c>
      <c r="EM6" s="20" t="s">
        <v>12</v>
      </c>
      <c r="EN6" s="20" t="s">
        <v>13</v>
      </c>
      <c r="EO6" s="20" t="s">
        <v>12</v>
      </c>
      <c r="EP6" s="20" t="s">
        <v>13</v>
      </c>
      <c r="EQ6" s="20" t="s">
        <v>12</v>
      </c>
      <c r="ER6" s="20" t="s">
        <v>13</v>
      </c>
      <c r="ES6" s="20" t="s">
        <v>12</v>
      </c>
      <c r="ET6" s="20" t="s">
        <v>13</v>
      </c>
      <c r="EU6" s="20" t="s">
        <v>12</v>
      </c>
      <c r="EV6" s="20" t="s">
        <v>13</v>
      </c>
      <c r="EW6" s="20" t="s">
        <v>12</v>
      </c>
      <c r="EX6" s="20" t="s">
        <v>13</v>
      </c>
      <c r="EY6" s="20" t="s">
        <v>12</v>
      </c>
      <c r="EZ6" s="20" t="s">
        <v>13</v>
      </c>
    </row>
    <row r="7" spans="1:156" x14ac:dyDescent="0.3">
      <c r="A7" s="6" t="s">
        <v>35</v>
      </c>
      <c r="B7" s="6"/>
      <c r="C7" s="6"/>
      <c r="D7" s="6"/>
      <c r="E7" s="6"/>
      <c r="F7" s="6"/>
      <c r="G7" s="6" t="s">
        <v>223</v>
      </c>
      <c r="H7" s="6" t="s">
        <v>224</v>
      </c>
      <c r="I7" s="6" t="s">
        <v>225</v>
      </c>
      <c r="J7" s="6" t="s">
        <v>226</v>
      </c>
      <c r="K7" s="6" t="s">
        <v>227</v>
      </c>
      <c r="L7" s="6" t="s">
        <v>228</v>
      </c>
      <c r="M7" s="6" t="s">
        <v>229</v>
      </c>
      <c r="N7" s="6" t="s">
        <v>230</v>
      </c>
      <c r="O7" s="6" t="s">
        <v>231</v>
      </c>
      <c r="P7" s="6" t="s">
        <v>232</v>
      </c>
      <c r="Q7" s="6" t="s">
        <v>233</v>
      </c>
      <c r="R7" s="6" t="s">
        <v>234</v>
      </c>
      <c r="S7" s="6" t="s">
        <v>235</v>
      </c>
      <c r="T7" s="6" t="s">
        <v>236</v>
      </c>
      <c r="U7" s="6" t="s">
        <v>237</v>
      </c>
      <c r="V7" s="6" t="s">
        <v>453</v>
      </c>
      <c r="W7" s="6" t="s">
        <v>454</v>
      </c>
      <c r="X7" s="6" t="s">
        <v>455</v>
      </c>
      <c r="Y7" s="6" t="s">
        <v>456</v>
      </c>
      <c r="Z7" s="6" t="s">
        <v>457</v>
      </c>
      <c r="AA7" s="6" t="s">
        <v>458</v>
      </c>
      <c r="AB7" s="6" t="s">
        <v>459</v>
      </c>
      <c r="AC7" s="6" t="s">
        <v>460</v>
      </c>
      <c r="AD7" s="6" t="s">
        <v>461</v>
      </c>
      <c r="AE7" s="6" t="s">
        <v>462</v>
      </c>
      <c r="AF7" s="6" t="s">
        <v>463</v>
      </c>
      <c r="AG7" s="6" t="s">
        <v>464</v>
      </c>
      <c r="AH7" s="6" t="s">
        <v>465</v>
      </c>
      <c r="AI7" s="6" t="s">
        <v>466</v>
      </c>
      <c r="AJ7" s="6" t="s">
        <v>467</v>
      </c>
      <c r="AK7" s="6" t="s">
        <v>468</v>
      </c>
      <c r="AL7" s="6" t="s">
        <v>469</v>
      </c>
      <c r="AM7" s="6" t="s">
        <v>470</v>
      </c>
      <c r="AN7" s="6" t="s">
        <v>471</v>
      </c>
      <c r="AO7" s="6" t="s">
        <v>472</v>
      </c>
      <c r="AP7" s="6" t="s">
        <v>473</v>
      </c>
      <c r="AQ7" s="6" t="s">
        <v>474</v>
      </c>
      <c r="AR7" s="6" t="s">
        <v>475</v>
      </c>
      <c r="AS7" s="6" t="s">
        <v>476</v>
      </c>
      <c r="AT7" s="6" t="s">
        <v>477</v>
      </c>
      <c r="AU7" s="6" t="s">
        <v>478</v>
      </c>
      <c r="AV7" s="6" t="s">
        <v>479</v>
      </c>
      <c r="AW7" s="6" t="s">
        <v>480</v>
      </c>
      <c r="AX7" s="6" t="s">
        <v>481</v>
      </c>
      <c r="AY7" s="6" t="s">
        <v>482</v>
      </c>
      <c r="AZ7" s="6" t="s">
        <v>483</v>
      </c>
      <c r="BA7" s="6" t="s">
        <v>484</v>
      </c>
      <c r="BB7" s="6" t="s">
        <v>485</v>
      </c>
      <c r="BC7" s="6" t="s">
        <v>486</v>
      </c>
      <c r="BD7" s="6" t="s">
        <v>487</v>
      </c>
      <c r="BE7" s="6" t="s">
        <v>488</v>
      </c>
      <c r="BF7" s="6" t="s">
        <v>489</v>
      </c>
      <c r="BG7" s="6" t="s">
        <v>490</v>
      </c>
      <c r="BH7" s="6" t="s">
        <v>491</v>
      </c>
      <c r="BI7" s="6" t="s">
        <v>492</v>
      </c>
      <c r="BJ7" s="6" t="s">
        <v>613</v>
      </c>
      <c r="BK7" s="6" t="s">
        <v>614</v>
      </c>
      <c r="BL7" s="6" t="s">
        <v>615</v>
      </c>
      <c r="BM7" s="6" t="s">
        <v>616</v>
      </c>
      <c r="BN7" s="6" t="s">
        <v>617</v>
      </c>
      <c r="BO7" s="6" t="s">
        <v>618</v>
      </c>
      <c r="BP7" s="6" t="s">
        <v>619</v>
      </c>
      <c r="BQ7" s="6" t="s">
        <v>620</v>
      </c>
      <c r="BR7" s="6" t="s">
        <v>621</v>
      </c>
      <c r="BS7" s="6" t="s">
        <v>622</v>
      </c>
      <c r="BT7" s="6" t="s">
        <v>623</v>
      </c>
      <c r="BU7" s="6" t="s">
        <v>624</v>
      </c>
      <c r="BV7" s="6" t="s">
        <v>625</v>
      </c>
      <c r="BW7" s="6" t="s">
        <v>626</v>
      </c>
      <c r="BX7" s="6" t="s">
        <v>627</v>
      </c>
      <c r="BY7" s="6" t="str">
        <f>_xlfn.CONCAT("{",$A16,"_",$C$15,"_",BY14,"}")</f>
        <v>{simpangpasir_jumlah_skriningproteinurin}</v>
      </c>
      <c r="BZ7" s="6" t="str">
        <f>_xlfn.CONCAT("{",$A16,"_",$D$15,"_",BY14,"}")</f>
        <v>{simpangpasir_persen_skriningproteinurin}</v>
      </c>
      <c r="CA7" s="6" t="str">
        <f t="shared" ref="CA7" si="0">_xlfn.CONCAT("{",$A16,"_",$C$15,"_",CA14,"}")</f>
        <v>{simpangpasir_jumlah_positif+1}</v>
      </c>
      <c r="CB7" s="6" t="str">
        <f t="shared" ref="CB7" si="1">_xlfn.CONCAT("{",$A16,"_",$D$15,"_",CA14,"}")</f>
        <v>{simpangpasir_persen_positif+1}</v>
      </c>
      <c r="CC7" s="6" t="str">
        <f t="shared" ref="CC7" si="2">_xlfn.CONCAT("{",$A16,"_",$C$15,"_",CC14,"}")</f>
        <v>{simpangpasir_jumlah_positif+2}</v>
      </c>
      <c r="CD7" s="6" t="str">
        <f t="shared" ref="CD7" si="3">_xlfn.CONCAT("{",$A16,"_",$D$15,"_",CC14,"}")</f>
        <v>{simpangpasir_persen_positif+2}</v>
      </c>
      <c r="CE7" s="6" t="str">
        <f t="shared" ref="CE7" si="4">_xlfn.CONCAT("{",$A16,"_",$C$15,"_",CE14,"}")</f>
        <v>{simpangpasir_jumlah_positif+3}</v>
      </c>
      <c r="CF7" s="6" t="str">
        <f t="shared" ref="CF7" si="5">_xlfn.CONCAT("{",$A16,"_",$D$15,"_",CE14,"}")</f>
        <v>{simpangpasir_persen_positif+3}</v>
      </c>
      <c r="CG7" s="6" t="str">
        <f t="shared" ref="CG7" si="6">_xlfn.CONCAT("{",$A16,"_",$C$15,"_",CG14,"}")</f>
        <v>{simpangpasir_jumlah_positif+4}</v>
      </c>
      <c r="CH7" s="6" t="str">
        <f t="shared" ref="CH7" si="7">_xlfn.CONCAT("{",$A16,"_",$D$15,"_",CG14,"}")</f>
        <v>{simpangpasir_persen_positif+4}</v>
      </c>
      <c r="CI7" s="6" t="str">
        <f t="shared" ref="CI7" si="8">_xlfn.CONCAT("{",$A16,"_",$C$15,"_",CI14,"}")</f>
        <v>{simpangpasir_jumlah_diperiksaguladarah}</v>
      </c>
      <c r="CJ7" s="6" t="str">
        <f t="shared" ref="CJ7" si="9">_xlfn.CONCAT("{",$A16,"_",$D$15,"_",CI14,"}")</f>
        <v>{simpangpasir_persen_diperiksaguladarah}</v>
      </c>
      <c r="CK7" s="6" t="str">
        <f t="shared" ref="CK7" si="10">_xlfn.CONCAT("{",$A16,"_",$C$15,"_",CK14,"}")</f>
        <v>{simpangpasir_jumlah_guladarah_ringan}</v>
      </c>
      <c r="CL7" s="6" t="str">
        <f t="shared" ref="CL7" si="11">_xlfn.CONCAT("{",$A16,"_",$D$15,"_",CK14,"}")</f>
        <v>{simpangpasir_persen_guladarah_ringan}</v>
      </c>
      <c r="CM7" s="6" t="str">
        <f t="shared" ref="CM7" si="12">_xlfn.CONCAT("{",$A16,"_",$C$15,"_",CM14,"}")</f>
        <v>{simpangpasir_jumlah_guladarah_sedang}</v>
      </c>
      <c r="CN7" s="6" t="str">
        <f t="shared" ref="CN7" si="13">_xlfn.CONCAT("{",$A16,"_",$D$15,"_",CM14,"}")</f>
        <v>{simpangpasir_persen_guladarah_sedang}</v>
      </c>
      <c r="CO7" s="6" t="str">
        <f t="shared" ref="CO7" si="14">_xlfn.CONCAT("{",$A16,"_",$C$15,"_",CO14,"}")</f>
        <v>{simpangpasir_jumlah_guladarah_berat}</v>
      </c>
      <c r="CP7" s="6" t="str">
        <f t="shared" ref="CP7" si="15">_xlfn.CONCAT("{",$A16,"_",$D$15,"_",CO14,"}")</f>
        <v>{simpangpasir_persen_guladarah_berat}</v>
      </c>
      <c r="CQ7" s="6" t="str">
        <f t="shared" ref="CQ7" si="16">_xlfn.CONCAT("{",$A16,"_",$C$15,"_",CQ14,"}")</f>
        <v>{simpangpasir_jumlah_diperiksaahiv}</v>
      </c>
      <c r="CR7" s="6" t="str">
        <f t="shared" ref="CR7" si="17">_xlfn.CONCAT("{",$A16,"_",$D$15,"_",CQ14,"}")</f>
        <v>{simpangpasir_persen_diperiksaahiv}</v>
      </c>
      <c r="CS7" s="6" t="str">
        <f t="shared" ref="CS7" si="18">_xlfn.CONCAT("{",$A16,"_",$C$15,"_",CS14,"}")</f>
        <v>{simpangpasir_jumlah_hivpositif}</v>
      </c>
      <c r="CT7" s="6" t="str">
        <f t="shared" ref="CT7" si="19">_xlfn.CONCAT("{",$A16,"_",$D$15,"_",CS14,"}")</f>
        <v>{simpangpasir_persen_hivpositif}</v>
      </c>
      <c r="CU7" s="6" t="str">
        <f>_xlfn.CONCAT("{",$A16,"_",$C$15,"_",CU14,"}")</f>
        <v>{simpangpasir_jumlah_bumil_mendapatart}</v>
      </c>
      <c r="CV7" s="6" t="str">
        <f>_xlfn.CONCAT("{",$A16,"_",$D$15,"_",CU14,"}")</f>
        <v>{simpangpasir_persen_bumil_mendapatart}</v>
      </c>
      <c r="CW7" s="6" t="str">
        <f>_xlfn.CONCAT("{",$A16,"_",CW14,"}")</f>
        <v>{simpangpasir_hiv_persalinannormal}</v>
      </c>
      <c r="CX7" s="6" t="str">
        <f>_xlfn.CONCAT("{",$A16,"_",CX14,"}")</f>
        <v>{simpangpasir_hiv_persalinansectio}</v>
      </c>
      <c r="CY7" s="6" t="str">
        <f>_xlfn.CONCAT("{",$A16,"_",$C$15,"_",CY14,"}")</f>
        <v>{simpangpasir_jumlah_diperiksamalaria}</v>
      </c>
      <c r="CZ7" s="6" t="str">
        <f>_xlfn.CONCAT("{",$A16,"_",$D$15,"_",CY14,"}")</f>
        <v>{simpangpasir_persen_diperiksamalaria}</v>
      </c>
      <c r="DA7" s="6" t="str">
        <f t="shared" ref="DA7:DJ7" si="20">_xlfn.CONCAT("{",$A16,"_",$C$15,"_",DA14,"}")</f>
        <v>{simpangpasir_jumlah_positifmalaria}</v>
      </c>
      <c r="DB7" s="6" t="str">
        <f t="shared" ref="DB7:DJ7" si="21">_xlfn.CONCAT("{",$A16,"_",$D$15,"_",DA14,"}")</f>
        <v>{simpangpasir_persen_positifmalaria}</v>
      </c>
      <c r="DC7" s="6" t="str">
        <f t="shared" ref="DC7:DJ7" si="22">_xlfn.CONCAT("{",$A16,"_",$C$15,"_",DC14,"}")</f>
        <v>{simpangpasir_jumlah_malariatatalaksana}</v>
      </c>
      <c r="DD7" s="6" t="str">
        <f t="shared" ref="DD7:DJ7" si="23">_xlfn.CONCAT("{",$A16,"_",$D$15,"_",DC14,"}")</f>
        <v>{simpangpasir_persen_malariatatalaksana}</v>
      </c>
      <c r="DE7" s="6" t="str">
        <f t="shared" ref="DE7:DJ7" si="24">_xlfn.CONCAT("{",$A16,"_",$C$15,"_",DE14,"}")</f>
        <v>{simpangpasir_jumlah_diperiksacacingan}</v>
      </c>
      <c r="DF7" s="6" t="str">
        <f t="shared" ref="DF7:DJ7" si="25">_xlfn.CONCAT("{",$A16,"_",$D$15,"_",DE14,"}")</f>
        <v>{simpangpasir_persen_diperiksacacingan}</v>
      </c>
      <c r="DG7" s="6" t="str">
        <f t="shared" ref="DG7:DJ7" si="26">_xlfn.CONCAT("{",$A16,"_",$C$15,"_",DG14,"}")</f>
        <v>{simpangpasir_jumlah_positifcacingan}</v>
      </c>
      <c r="DH7" s="6" t="str">
        <f t="shared" ref="DH7:DJ7" si="27">_xlfn.CONCAT("{",$A16,"_",$D$15,"_",DG14,"}")</f>
        <v>{simpangpasir_persen_positifcacingan}</v>
      </c>
      <c r="DI7" s="6" t="str">
        <f t="shared" ref="DI7:DJ7" si="28">_xlfn.CONCAT("{",$A16,"_",$C$15,"_",DI14,"}")</f>
        <v>{simpangpasir_jumlah_cacingantatalaksana}</v>
      </c>
      <c r="DJ7" s="6" t="str">
        <f t="shared" ref="DJ7:DR7" si="29">_xlfn.CONCAT("{",$A16,"_",$D$15,"_",DI14,"}")</f>
        <v>{simpangpasir_persen_cacingantatalaksana}</v>
      </c>
      <c r="DK7" s="6" t="str">
        <f t="shared" ref="DK7:DR7" si="30">_xlfn.CONCAT("{",$A16,"_",$C$15,"_",DK14,"}")</f>
        <v>{simpangpasir_jumlah_diperiksaims}</v>
      </c>
      <c r="DL7" s="6" t="str">
        <f t="shared" si="29"/>
        <v>{simpangpasir_persen_diperiksaims}</v>
      </c>
      <c r="DM7" s="6" t="str">
        <f t="shared" ref="DM7:DR7" si="31">_xlfn.CONCAT("{",$A16,"_",$C$15,"_",DM14,"}")</f>
        <v>{simpangpasir_jumlah_positifims}</v>
      </c>
      <c r="DN7" s="6" t="str">
        <f t="shared" si="29"/>
        <v>{simpangpasir_persen_positifims}</v>
      </c>
      <c r="DO7" s="6" t="str">
        <f t="shared" ref="DO7:DR7" si="32">_xlfn.CONCAT("{",$A16,"_",$C$15,"_",DO14,"}")</f>
        <v>{simpangpasir_jumlah_imstatalaksana}</v>
      </c>
      <c r="DP7" s="6" t="str">
        <f t="shared" si="29"/>
        <v>{simpangpasir_persen_imstatalaksana}</v>
      </c>
      <c r="DQ7" s="6" t="str">
        <f t="shared" ref="DQ7:DR7" si="33">_xlfn.CONCAT("{",$A16,"_",$C$15,"_",DQ14,"}")</f>
        <v>{simpangpasir_jumlah_diperiksahbsag}</v>
      </c>
      <c r="DR7" s="6" t="str">
        <f t="shared" si="29"/>
        <v>{simpangpasir_persen_diperiksahbsag}</v>
      </c>
      <c r="DS7" s="6" t="str">
        <f t="shared" ref="DS7:DT7" si="34">_xlfn.CONCAT("{",$A16,"_",$C$15,"_",DS14,"}")</f>
        <v>{simpangpasir_jumlah_positifhbsag}</v>
      </c>
      <c r="DT7" s="6" t="str">
        <f t="shared" ref="DT7:DV7" si="35">_xlfn.CONCAT("{",$A16,"_",$D$15,"_",DS14,"}")</f>
        <v>{simpangpasir_persen_positifhbsag}</v>
      </c>
      <c r="DU7" s="6" t="str">
        <f t="shared" ref="DU7:DV7" si="36">_xlfn.CONCAT("{",$A16,"_",$C$15,"_",DU14,"}")</f>
        <v>{simpangpasir_jumlah_hbsagtatalaksana}</v>
      </c>
      <c r="DV7" s="6" t="str">
        <f t="shared" ref="DV7" si="37">_xlfn.CONCAT("{",$A16,"_",$D$15,"_",DU14,"}")</f>
        <v>{simpangpasir_persen_hbsagtatalaksana}</v>
      </c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</row>
    <row r="8" spans="1:156" x14ac:dyDescent="0.3">
      <c r="A8" s="7" t="s">
        <v>36</v>
      </c>
      <c r="B8" s="7"/>
      <c r="C8" s="7"/>
      <c r="D8" s="7"/>
      <c r="E8" s="7"/>
      <c r="F8" s="7"/>
      <c r="G8" s="7" t="s">
        <v>238</v>
      </c>
      <c r="H8" s="7" t="s">
        <v>239</v>
      </c>
      <c r="I8" s="7" t="s">
        <v>240</v>
      </c>
      <c r="J8" s="7" t="s">
        <v>241</v>
      </c>
      <c r="K8" s="7" t="s">
        <v>242</v>
      </c>
      <c r="L8" s="7" t="s">
        <v>243</v>
      </c>
      <c r="M8" s="7" t="s">
        <v>244</v>
      </c>
      <c r="N8" s="7" t="s">
        <v>245</v>
      </c>
      <c r="O8" s="7" t="s">
        <v>246</v>
      </c>
      <c r="P8" s="7" t="s">
        <v>247</v>
      </c>
      <c r="Q8" s="7" t="s">
        <v>248</v>
      </c>
      <c r="R8" s="7" t="s">
        <v>249</v>
      </c>
      <c r="S8" s="7" t="s">
        <v>250</v>
      </c>
      <c r="T8" s="7" t="s">
        <v>251</v>
      </c>
      <c r="U8" s="7" t="s">
        <v>252</v>
      </c>
      <c r="V8" s="7" t="s">
        <v>493</v>
      </c>
      <c r="W8" s="7" t="s">
        <v>494</v>
      </c>
      <c r="X8" s="7" t="s">
        <v>495</v>
      </c>
      <c r="Y8" s="7" t="s">
        <v>496</v>
      </c>
      <c r="Z8" s="7" t="s">
        <v>497</v>
      </c>
      <c r="AA8" s="7" t="s">
        <v>498</v>
      </c>
      <c r="AB8" s="7" t="s">
        <v>499</v>
      </c>
      <c r="AC8" s="7" t="s">
        <v>500</v>
      </c>
      <c r="AD8" s="7" t="s">
        <v>501</v>
      </c>
      <c r="AE8" s="7" t="s">
        <v>502</v>
      </c>
      <c r="AF8" s="7" t="s">
        <v>503</v>
      </c>
      <c r="AG8" s="7" t="s">
        <v>504</v>
      </c>
      <c r="AH8" s="7" t="s">
        <v>505</v>
      </c>
      <c r="AI8" s="7" t="s">
        <v>506</v>
      </c>
      <c r="AJ8" s="7" t="s">
        <v>507</v>
      </c>
      <c r="AK8" s="7" t="s">
        <v>508</v>
      </c>
      <c r="AL8" s="7" t="s">
        <v>509</v>
      </c>
      <c r="AM8" s="7" t="s">
        <v>510</v>
      </c>
      <c r="AN8" s="7" t="s">
        <v>511</v>
      </c>
      <c r="AO8" s="7" t="s">
        <v>512</v>
      </c>
      <c r="AP8" s="7" t="s">
        <v>513</v>
      </c>
      <c r="AQ8" s="7" t="s">
        <v>514</v>
      </c>
      <c r="AR8" s="7" t="s">
        <v>515</v>
      </c>
      <c r="AS8" s="7" t="s">
        <v>516</v>
      </c>
      <c r="AT8" s="7" t="s">
        <v>517</v>
      </c>
      <c r="AU8" s="7" t="s">
        <v>518</v>
      </c>
      <c r="AV8" s="7" t="s">
        <v>519</v>
      </c>
      <c r="AW8" s="7" t="s">
        <v>520</v>
      </c>
      <c r="AX8" s="7" t="s">
        <v>521</v>
      </c>
      <c r="AY8" s="7" t="s">
        <v>522</v>
      </c>
      <c r="AZ8" s="7" t="s">
        <v>523</v>
      </c>
      <c r="BA8" s="7" t="s">
        <v>524</v>
      </c>
      <c r="BB8" s="7" t="s">
        <v>525</v>
      </c>
      <c r="BC8" s="7" t="s">
        <v>526</v>
      </c>
      <c r="BD8" s="7" t="s">
        <v>527</v>
      </c>
      <c r="BE8" s="7" t="s">
        <v>528</v>
      </c>
      <c r="BF8" s="7" t="s">
        <v>529</v>
      </c>
      <c r="BG8" s="7" t="s">
        <v>530</v>
      </c>
      <c r="BH8" s="7" t="s">
        <v>531</v>
      </c>
      <c r="BI8" s="7" t="s">
        <v>532</v>
      </c>
      <c r="BJ8" s="7" t="s">
        <v>628</v>
      </c>
      <c r="BK8" s="7" t="s">
        <v>629</v>
      </c>
      <c r="BL8" s="7" t="s">
        <v>630</v>
      </c>
      <c r="BM8" s="7" t="s">
        <v>631</v>
      </c>
      <c r="BN8" s="7" t="s">
        <v>632</v>
      </c>
      <c r="BO8" s="7" t="s">
        <v>633</v>
      </c>
      <c r="BP8" s="7" t="s">
        <v>634</v>
      </c>
      <c r="BQ8" s="7" t="s">
        <v>635</v>
      </c>
      <c r="BR8" s="7" t="s">
        <v>636</v>
      </c>
      <c r="BS8" s="7" t="s">
        <v>637</v>
      </c>
      <c r="BT8" s="7" t="s">
        <v>638</v>
      </c>
      <c r="BU8" s="7" t="s">
        <v>639</v>
      </c>
      <c r="BV8" s="7" t="s">
        <v>640</v>
      </c>
      <c r="BW8" s="7" t="s">
        <v>641</v>
      </c>
      <c r="BX8" s="7" t="s">
        <v>642</v>
      </c>
      <c r="BY8" s="7" t="str">
        <f t="shared" ref="BY8:CG10" si="38">_xlfn.CONCAT("{",$A17,"_",$C$15,"_",BY15,"}")</f>
        <v>{rawamakmur_jumlah_skriningproteinurin}</v>
      </c>
      <c r="BZ8" s="7" t="str">
        <f t="shared" ref="BZ8:CH10" si="39">_xlfn.CONCAT("{",$A17,"_",$D$15,"_",BY15,"}")</f>
        <v>{rawamakmur_persen_skriningproteinurin}</v>
      </c>
      <c r="CA8" s="7" t="str">
        <f t="shared" si="38"/>
        <v>{rawamakmur_jumlah_positif+1}</v>
      </c>
      <c r="CB8" s="7" t="str">
        <f t="shared" si="39"/>
        <v>{rawamakmur_persen_positif+1}</v>
      </c>
      <c r="CC8" s="7" t="str">
        <f t="shared" si="38"/>
        <v>{rawamakmur_jumlah_positif+2}</v>
      </c>
      <c r="CD8" s="7" t="str">
        <f t="shared" si="39"/>
        <v>{rawamakmur_persen_positif+2}</v>
      </c>
      <c r="CE8" s="7" t="str">
        <f t="shared" si="38"/>
        <v>{rawamakmur_jumlah_positif+3}</v>
      </c>
      <c r="CF8" s="7" t="str">
        <f t="shared" si="39"/>
        <v>{rawamakmur_persen_positif+3}</v>
      </c>
      <c r="CG8" s="7" t="str">
        <f t="shared" si="38"/>
        <v>{rawamakmur_jumlah_positif+4}</v>
      </c>
      <c r="CH8" s="7" t="str">
        <f t="shared" si="39"/>
        <v>{rawamakmur_persen_positif+4}</v>
      </c>
      <c r="CI8" s="7" t="str">
        <f t="shared" ref="CI8" si="40">_xlfn.CONCAT("{",$A17,"_",$C$15,"_",CI15,"}")</f>
        <v>{rawamakmur_jumlah_diperiksaguladarah}</v>
      </c>
      <c r="CJ8" s="7" t="str">
        <f t="shared" ref="CJ8" si="41">_xlfn.CONCAT("{",$A17,"_",$D$15,"_",CI15,"}")</f>
        <v>{rawamakmur_persen_diperiksaguladarah}</v>
      </c>
      <c r="CK8" s="7" t="str">
        <f t="shared" ref="CK8" si="42">_xlfn.CONCAT("{",$A17,"_",$C$15,"_",CK15,"}")</f>
        <v>{rawamakmur_jumlah_guladarah_ringan}</v>
      </c>
      <c r="CL8" s="7" t="str">
        <f t="shared" ref="CL8" si="43">_xlfn.CONCAT("{",$A17,"_",$D$15,"_",CK15,"}")</f>
        <v>{rawamakmur_persen_guladarah_ringan}</v>
      </c>
      <c r="CM8" s="7" t="str">
        <f t="shared" ref="CM8" si="44">_xlfn.CONCAT("{",$A17,"_",$C$15,"_",CM15,"}")</f>
        <v>{rawamakmur_jumlah_guladarah_sedang}</v>
      </c>
      <c r="CN8" s="7" t="str">
        <f t="shared" ref="CN8" si="45">_xlfn.CONCAT("{",$A17,"_",$D$15,"_",CM15,"}")</f>
        <v>{rawamakmur_persen_guladarah_sedang}</v>
      </c>
      <c r="CO8" s="7" t="str">
        <f t="shared" ref="CO8" si="46">_xlfn.CONCAT("{",$A17,"_",$C$15,"_",CO15,"}")</f>
        <v>{rawamakmur_jumlah_guladarah_berat}</v>
      </c>
      <c r="CP8" s="7" t="str">
        <f t="shared" ref="CP8" si="47">_xlfn.CONCAT("{",$A17,"_",$D$15,"_",CO15,"}")</f>
        <v>{rawamakmur_persen_guladarah_berat}</v>
      </c>
      <c r="CQ8" s="7" t="str">
        <f t="shared" ref="CQ8" si="48">_xlfn.CONCAT("{",$A17,"_",$C$15,"_",CQ15,"}")</f>
        <v>{rawamakmur_jumlah_diperiksaahiv}</v>
      </c>
      <c r="CR8" s="7" t="str">
        <f t="shared" ref="CR8" si="49">_xlfn.CONCAT("{",$A17,"_",$D$15,"_",CQ15,"}")</f>
        <v>{rawamakmur_persen_diperiksaahiv}</v>
      </c>
      <c r="CS8" s="7" t="str">
        <f t="shared" ref="CS8" si="50">_xlfn.CONCAT("{",$A17,"_",$C$15,"_",CS15,"}")</f>
        <v>{rawamakmur_jumlah_hivpositif}</v>
      </c>
      <c r="CT8" s="7" t="str">
        <f t="shared" ref="CT8" si="51">_xlfn.CONCAT("{",$A17,"_",$D$15,"_",CS15,"}")</f>
        <v>{rawamakmur_persen_hivpositif}</v>
      </c>
      <c r="CU8" s="7" t="str">
        <f t="shared" ref="CU8" si="52">_xlfn.CONCAT("{",$A17,"_",$C$15,"_",CU15,"}")</f>
        <v>{rawamakmur_jumlah_bumil_mendapatart}</v>
      </c>
      <c r="CV8" s="7" t="str">
        <f t="shared" ref="CV8" si="53">_xlfn.CONCAT("{",$A17,"_",$D$15,"_",CU15,"}")</f>
        <v>{rawamakmur_persen_bumil_mendapatart}</v>
      </c>
      <c r="CW8" s="7" t="str">
        <f t="shared" ref="CW8:CX10" si="54">_xlfn.CONCAT("{",$A17,"_",CW15,"}")</f>
        <v>{rawamakmur_hiv_persalinannormal}</v>
      </c>
      <c r="CX8" s="7" t="str">
        <f t="shared" si="54"/>
        <v>{rawamakmur_hiv_persalinansectio}</v>
      </c>
      <c r="CY8" s="7" t="str">
        <f t="shared" ref="CY8:DI10" si="55">_xlfn.CONCAT("{",$A17,"_",$C$15,"_",CY15,"}")</f>
        <v>{rawamakmur_jumlah_diperiksamalaria}</v>
      </c>
      <c r="CZ8" s="7" t="str">
        <f t="shared" ref="CZ8:DJ10" si="56">_xlfn.CONCAT("{",$A17,"_",$D$15,"_",CY15,"}")</f>
        <v>{rawamakmur_persen_diperiksamalaria}</v>
      </c>
      <c r="DA8" s="7" t="str">
        <f t="shared" si="55"/>
        <v>{rawamakmur_jumlah_positifmalaria}</v>
      </c>
      <c r="DB8" s="7" t="str">
        <f t="shared" si="56"/>
        <v>{rawamakmur_persen_positifmalaria}</v>
      </c>
      <c r="DC8" s="7" t="str">
        <f t="shared" si="55"/>
        <v>{rawamakmur_jumlah_malariatatalaksana}</v>
      </c>
      <c r="DD8" s="7" t="str">
        <f t="shared" si="56"/>
        <v>{rawamakmur_persen_malariatatalaksana}</v>
      </c>
      <c r="DE8" s="7" t="str">
        <f t="shared" si="55"/>
        <v>{rawamakmur_jumlah_diperiksacacingan}</v>
      </c>
      <c r="DF8" s="7" t="str">
        <f t="shared" si="56"/>
        <v>{rawamakmur_persen_diperiksacacingan}</v>
      </c>
      <c r="DG8" s="7" t="str">
        <f t="shared" si="55"/>
        <v>{rawamakmur_jumlah_positifcacingan}</v>
      </c>
      <c r="DH8" s="7" t="str">
        <f t="shared" si="56"/>
        <v>{rawamakmur_persen_positifcacingan}</v>
      </c>
      <c r="DI8" s="7" t="str">
        <f t="shared" si="55"/>
        <v>{rawamakmur_jumlah_cacingantatalaksana}</v>
      </c>
      <c r="DJ8" s="7" t="str">
        <f t="shared" si="56"/>
        <v>{rawamakmur_persen_cacingantatalaksana}</v>
      </c>
      <c r="DK8" s="7" t="str">
        <f t="shared" ref="DK8:DR8" si="57">_xlfn.CONCAT("{",$A17,"_",$C$15,"_",DK15,"}")</f>
        <v>{rawamakmur_jumlah_diperiksaims}</v>
      </c>
      <c r="DL8" s="7" t="str">
        <f t="shared" ref="DL8:DR8" si="58">_xlfn.CONCAT("{",$A17,"_",$D$15,"_",DK15,"}")</f>
        <v>{rawamakmur_persen_diperiksaims}</v>
      </c>
      <c r="DM8" s="7" t="str">
        <f t="shared" ref="DM8:DR8" si="59">_xlfn.CONCAT("{",$A17,"_",$C$15,"_",DM15,"}")</f>
        <v>{rawamakmur_jumlah_positifims}</v>
      </c>
      <c r="DN8" s="7" t="str">
        <f t="shared" ref="DN8:DR8" si="60">_xlfn.CONCAT("{",$A17,"_",$D$15,"_",DM15,"}")</f>
        <v>{rawamakmur_persen_positifims}</v>
      </c>
      <c r="DO8" s="7" t="str">
        <f t="shared" ref="DO8:DR8" si="61">_xlfn.CONCAT("{",$A17,"_",$C$15,"_",DO15,"}")</f>
        <v>{rawamakmur_jumlah_imstatalaksana}</v>
      </c>
      <c r="DP8" s="7" t="str">
        <f t="shared" ref="DP8:DR8" si="62">_xlfn.CONCAT("{",$A17,"_",$D$15,"_",DO15,"}")</f>
        <v>{rawamakmur_persen_imstatalaksana}</v>
      </c>
      <c r="DQ8" s="7" t="str">
        <f t="shared" ref="DQ8:DR8" si="63">_xlfn.CONCAT("{",$A17,"_",$C$15,"_",DQ15,"}")</f>
        <v>{rawamakmur_jumlah_diperiksahbsag}</v>
      </c>
      <c r="DR8" s="7" t="str">
        <f t="shared" ref="DR8" si="64">_xlfn.CONCAT("{",$A17,"_",$D$15,"_",DQ15,"}")</f>
        <v>{rawamakmur_persen_diperiksahbsag}</v>
      </c>
      <c r="DS8" s="7" t="str">
        <f t="shared" ref="DS8:DV8" si="65">_xlfn.CONCAT("{",$A17,"_",$C$15,"_",DS15,"}")</f>
        <v>{rawamakmur_jumlah_positifhbsag}</v>
      </c>
      <c r="DT8" s="7" t="str">
        <f t="shared" ref="DT8:DV8" si="66">_xlfn.CONCAT("{",$A17,"_",$D$15,"_",DS15,"}")</f>
        <v>{rawamakmur_persen_positifhbsag}</v>
      </c>
      <c r="DU8" s="7" t="str">
        <f t="shared" ref="DU8:DV8" si="67">_xlfn.CONCAT("{",$A17,"_",$C$15,"_",DU15,"}")</f>
        <v>{rawamakmur_jumlah_hbsagtatalaksana}</v>
      </c>
      <c r="DV8" s="7" t="str">
        <f t="shared" ref="DV8" si="68">_xlfn.CONCAT("{",$A17,"_",$D$15,"_",DU15,"}")</f>
        <v>{rawamakmur_persen_hbsagtatalaksana}</v>
      </c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</row>
    <row r="9" spans="1:156" x14ac:dyDescent="0.3">
      <c r="A9" s="6" t="s">
        <v>37</v>
      </c>
      <c r="B9" s="6"/>
      <c r="C9" s="6"/>
      <c r="D9" s="6"/>
      <c r="E9" s="6"/>
      <c r="F9" s="6"/>
      <c r="G9" s="6" t="s">
        <v>253</v>
      </c>
      <c r="H9" s="6" t="s">
        <v>254</v>
      </c>
      <c r="I9" s="6" t="s">
        <v>255</v>
      </c>
      <c r="J9" s="6" t="s">
        <v>256</v>
      </c>
      <c r="K9" s="6" t="s">
        <v>257</v>
      </c>
      <c r="L9" s="6" t="s">
        <v>258</v>
      </c>
      <c r="M9" s="6" t="s">
        <v>259</v>
      </c>
      <c r="N9" s="6" t="s">
        <v>260</v>
      </c>
      <c r="O9" s="6" t="s">
        <v>261</v>
      </c>
      <c r="P9" s="6" t="s">
        <v>262</v>
      </c>
      <c r="Q9" s="6" t="s">
        <v>263</v>
      </c>
      <c r="R9" s="6" t="s">
        <v>264</v>
      </c>
      <c r="S9" s="6" t="s">
        <v>265</v>
      </c>
      <c r="T9" s="6" t="s">
        <v>266</v>
      </c>
      <c r="U9" s="6" t="s">
        <v>267</v>
      </c>
      <c r="V9" s="6" t="s">
        <v>533</v>
      </c>
      <c r="W9" s="6" t="s">
        <v>534</v>
      </c>
      <c r="X9" s="6" t="s">
        <v>535</v>
      </c>
      <c r="Y9" s="6" t="s">
        <v>536</v>
      </c>
      <c r="Z9" s="6" t="s">
        <v>537</v>
      </c>
      <c r="AA9" s="6" t="s">
        <v>538</v>
      </c>
      <c r="AB9" s="6" t="s">
        <v>539</v>
      </c>
      <c r="AC9" s="6" t="s">
        <v>540</v>
      </c>
      <c r="AD9" s="6" t="s">
        <v>541</v>
      </c>
      <c r="AE9" s="6" t="s">
        <v>542</v>
      </c>
      <c r="AF9" s="6" t="s">
        <v>543</v>
      </c>
      <c r="AG9" s="6" t="s">
        <v>544</v>
      </c>
      <c r="AH9" s="6" t="s">
        <v>545</v>
      </c>
      <c r="AI9" s="6" t="s">
        <v>546</v>
      </c>
      <c r="AJ9" s="6" t="s">
        <v>547</v>
      </c>
      <c r="AK9" s="6" t="s">
        <v>548</v>
      </c>
      <c r="AL9" s="6" t="s">
        <v>549</v>
      </c>
      <c r="AM9" s="6" t="s">
        <v>550</v>
      </c>
      <c r="AN9" s="6" t="s">
        <v>551</v>
      </c>
      <c r="AO9" s="6" t="s">
        <v>552</v>
      </c>
      <c r="AP9" s="6" t="s">
        <v>553</v>
      </c>
      <c r="AQ9" s="6" t="s">
        <v>554</v>
      </c>
      <c r="AR9" s="6" t="s">
        <v>555</v>
      </c>
      <c r="AS9" s="6" t="s">
        <v>556</v>
      </c>
      <c r="AT9" s="6" t="s">
        <v>557</v>
      </c>
      <c r="AU9" s="6" t="s">
        <v>558</v>
      </c>
      <c r="AV9" s="6" t="s">
        <v>559</v>
      </c>
      <c r="AW9" s="6" t="s">
        <v>560</v>
      </c>
      <c r="AX9" s="6" t="s">
        <v>561</v>
      </c>
      <c r="AY9" s="6" t="s">
        <v>562</v>
      </c>
      <c r="AZ9" s="6" t="s">
        <v>563</v>
      </c>
      <c r="BA9" s="6" t="s">
        <v>564</v>
      </c>
      <c r="BB9" s="6" t="s">
        <v>565</v>
      </c>
      <c r="BC9" s="6" t="s">
        <v>566</v>
      </c>
      <c r="BD9" s="6" t="s">
        <v>567</v>
      </c>
      <c r="BE9" s="6" t="s">
        <v>568</v>
      </c>
      <c r="BF9" s="6" t="s">
        <v>569</v>
      </c>
      <c r="BG9" s="6" t="s">
        <v>570</v>
      </c>
      <c r="BH9" s="6" t="s">
        <v>571</v>
      </c>
      <c r="BI9" s="6" t="s">
        <v>572</v>
      </c>
      <c r="BJ9" s="6" t="s">
        <v>643</v>
      </c>
      <c r="BK9" s="6" t="s">
        <v>644</v>
      </c>
      <c r="BL9" s="6" t="s">
        <v>645</v>
      </c>
      <c r="BM9" s="6" t="s">
        <v>646</v>
      </c>
      <c r="BN9" s="6" t="s">
        <v>647</v>
      </c>
      <c r="BO9" s="6" t="s">
        <v>648</v>
      </c>
      <c r="BP9" s="6" t="s">
        <v>649</v>
      </c>
      <c r="BQ9" s="6" t="s">
        <v>650</v>
      </c>
      <c r="BR9" s="6" t="s">
        <v>651</v>
      </c>
      <c r="BS9" s="6" t="s">
        <v>652</v>
      </c>
      <c r="BT9" s="6" t="s">
        <v>653</v>
      </c>
      <c r="BU9" s="6" t="s">
        <v>654</v>
      </c>
      <c r="BV9" s="6" t="s">
        <v>655</v>
      </c>
      <c r="BW9" s="6" t="s">
        <v>656</v>
      </c>
      <c r="BX9" s="6" t="s">
        <v>657</v>
      </c>
      <c r="BY9" s="6" t="str">
        <f t="shared" si="38"/>
        <v>{handilbakti_jumlah_skriningproteinurin}</v>
      </c>
      <c r="BZ9" s="6" t="str">
        <f t="shared" si="39"/>
        <v>{handilbakti_persen_skriningproteinurin}</v>
      </c>
      <c r="CA9" s="6" t="str">
        <f t="shared" si="38"/>
        <v>{handilbakti_jumlah_positif+1}</v>
      </c>
      <c r="CB9" s="6" t="str">
        <f t="shared" si="39"/>
        <v>{handilbakti_persen_positif+1}</v>
      </c>
      <c r="CC9" s="6" t="str">
        <f t="shared" si="38"/>
        <v>{handilbakti_jumlah_positif+2}</v>
      </c>
      <c r="CD9" s="6" t="str">
        <f t="shared" si="39"/>
        <v>{handilbakti_persen_positif+2}</v>
      </c>
      <c r="CE9" s="6" t="str">
        <f t="shared" si="38"/>
        <v>{handilbakti_jumlah_positif+3}</v>
      </c>
      <c r="CF9" s="6" t="str">
        <f t="shared" si="39"/>
        <v>{handilbakti_persen_positif+3}</v>
      </c>
      <c r="CG9" s="6" t="str">
        <f t="shared" si="38"/>
        <v>{handilbakti_jumlah_positif+4}</v>
      </c>
      <c r="CH9" s="6" t="str">
        <f t="shared" si="39"/>
        <v>{handilbakti_persen_positif+4}</v>
      </c>
      <c r="CI9" s="6" t="str">
        <f t="shared" ref="CI9" si="69">_xlfn.CONCAT("{",$A18,"_",$C$15,"_",CI16,"}")</f>
        <v>{handilbakti_jumlah_diperiksaguladarah}</v>
      </c>
      <c r="CJ9" s="6" t="str">
        <f t="shared" ref="CJ9" si="70">_xlfn.CONCAT("{",$A18,"_",$D$15,"_",CI16,"}")</f>
        <v>{handilbakti_persen_diperiksaguladarah}</v>
      </c>
      <c r="CK9" s="6" t="str">
        <f t="shared" ref="CK9" si="71">_xlfn.CONCAT("{",$A18,"_",$C$15,"_",CK16,"}")</f>
        <v>{handilbakti_jumlah_guladarah_ringan}</v>
      </c>
      <c r="CL9" s="6" t="str">
        <f t="shared" ref="CL9" si="72">_xlfn.CONCAT("{",$A18,"_",$D$15,"_",CK16,"}")</f>
        <v>{handilbakti_persen_guladarah_ringan}</v>
      </c>
      <c r="CM9" s="6" t="str">
        <f t="shared" ref="CM9" si="73">_xlfn.CONCAT("{",$A18,"_",$C$15,"_",CM16,"}")</f>
        <v>{handilbakti_jumlah_guladarah_sedang}</v>
      </c>
      <c r="CN9" s="6" t="str">
        <f t="shared" ref="CN9" si="74">_xlfn.CONCAT("{",$A18,"_",$D$15,"_",CM16,"}")</f>
        <v>{handilbakti_persen_guladarah_sedang}</v>
      </c>
      <c r="CO9" s="6" t="str">
        <f t="shared" ref="CO9" si="75">_xlfn.CONCAT("{",$A18,"_",$C$15,"_",CO16,"}")</f>
        <v>{handilbakti_jumlah_guladarah_berat}</v>
      </c>
      <c r="CP9" s="6" t="str">
        <f t="shared" ref="CP9" si="76">_xlfn.CONCAT("{",$A18,"_",$D$15,"_",CO16,"}")</f>
        <v>{handilbakti_persen_guladarah_berat}</v>
      </c>
      <c r="CQ9" s="6" t="str">
        <f t="shared" ref="CQ9" si="77">_xlfn.CONCAT("{",$A18,"_",$C$15,"_",CQ16,"}")</f>
        <v>{handilbakti_jumlah_diperiksaahiv}</v>
      </c>
      <c r="CR9" s="6" t="str">
        <f t="shared" ref="CR9" si="78">_xlfn.CONCAT("{",$A18,"_",$D$15,"_",CQ16,"}")</f>
        <v>{handilbakti_persen_diperiksaahiv}</v>
      </c>
      <c r="CS9" s="6" t="str">
        <f t="shared" ref="CS9" si="79">_xlfn.CONCAT("{",$A18,"_",$C$15,"_",CS16,"}")</f>
        <v>{handilbakti_jumlah_hivpositif}</v>
      </c>
      <c r="CT9" s="6" t="str">
        <f t="shared" ref="CT9" si="80">_xlfn.CONCAT("{",$A18,"_",$D$15,"_",CS16,"}")</f>
        <v>{handilbakti_persen_hivpositif}</v>
      </c>
      <c r="CU9" s="6" t="str">
        <f t="shared" ref="CU9" si="81">_xlfn.CONCAT("{",$A18,"_",$C$15,"_",CU16,"}")</f>
        <v>{handilbakti_jumlah_bumil_mendapatart}</v>
      </c>
      <c r="CV9" s="6" t="str">
        <f t="shared" ref="CV9" si="82">_xlfn.CONCAT("{",$A18,"_",$D$15,"_",CU16,"}")</f>
        <v>{handilbakti_persen_bumil_mendapatart}</v>
      </c>
      <c r="CW9" s="6" t="str">
        <f t="shared" si="54"/>
        <v>{handilbakti_hiv_persalinannormal}</v>
      </c>
      <c r="CX9" s="6" t="str">
        <f t="shared" si="54"/>
        <v>{handilbakti_hiv_persalinansectio}</v>
      </c>
      <c r="CY9" s="6" t="str">
        <f t="shared" si="55"/>
        <v>{handilbakti_jumlah_diperiksamalaria}</v>
      </c>
      <c r="CZ9" s="6" t="str">
        <f t="shared" si="56"/>
        <v>{handilbakti_persen_diperiksamalaria}</v>
      </c>
      <c r="DA9" s="6" t="str">
        <f t="shared" si="55"/>
        <v>{handilbakti_jumlah_positifmalaria}</v>
      </c>
      <c r="DB9" s="6" t="str">
        <f t="shared" si="56"/>
        <v>{handilbakti_persen_positifmalaria}</v>
      </c>
      <c r="DC9" s="6" t="str">
        <f t="shared" si="55"/>
        <v>{handilbakti_jumlah_malariatatalaksana}</v>
      </c>
      <c r="DD9" s="6" t="str">
        <f t="shared" si="56"/>
        <v>{handilbakti_persen_malariatatalaksana}</v>
      </c>
      <c r="DE9" s="6" t="str">
        <f t="shared" si="55"/>
        <v>{handilbakti_jumlah_diperiksacacingan}</v>
      </c>
      <c r="DF9" s="6" t="str">
        <f t="shared" si="56"/>
        <v>{handilbakti_persen_diperiksacacingan}</v>
      </c>
      <c r="DG9" s="6" t="str">
        <f t="shared" si="55"/>
        <v>{handilbakti_jumlah_positifcacingan}</v>
      </c>
      <c r="DH9" s="6" t="str">
        <f t="shared" si="56"/>
        <v>{handilbakti_persen_positifcacingan}</v>
      </c>
      <c r="DI9" s="6" t="str">
        <f t="shared" si="55"/>
        <v>{handilbakti_jumlah_cacingantatalaksana}</v>
      </c>
      <c r="DJ9" s="6" t="str">
        <f t="shared" si="56"/>
        <v>{handilbakti_persen_cacingantatalaksana}</v>
      </c>
      <c r="DK9" s="6" t="str">
        <f t="shared" ref="DK9:DR9" si="83">_xlfn.CONCAT("{",$A18,"_",$C$15,"_",DK16,"}")</f>
        <v>{handilbakti_jumlah_diperiksaims}</v>
      </c>
      <c r="DL9" s="6" t="str">
        <f t="shared" ref="DL9:DR9" si="84">_xlfn.CONCAT("{",$A18,"_",$D$15,"_",DK16,"}")</f>
        <v>{handilbakti_persen_diperiksaims}</v>
      </c>
      <c r="DM9" s="6" t="str">
        <f t="shared" ref="DM9:DR9" si="85">_xlfn.CONCAT("{",$A18,"_",$C$15,"_",DM16,"}")</f>
        <v>{handilbakti_jumlah_positifims}</v>
      </c>
      <c r="DN9" s="6" t="str">
        <f t="shared" ref="DN9:DR9" si="86">_xlfn.CONCAT("{",$A18,"_",$D$15,"_",DM16,"}")</f>
        <v>{handilbakti_persen_positifims}</v>
      </c>
      <c r="DO9" s="6" t="str">
        <f t="shared" ref="DO9:DR9" si="87">_xlfn.CONCAT("{",$A18,"_",$C$15,"_",DO16,"}")</f>
        <v>{handilbakti_jumlah_imstatalaksana}</v>
      </c>
      <c r="DP9" s="6" t="str">
        <f t="shared" ref="DP9:DR9" si="88">_xlfn.CONCAT("{",$A18,"_",$D$15,"_",DO16,"}")</f>
        <v>{handilbakti_persen_imstatalaksana}</v>
      </c>
      <c r="DQ9" s="6" t="str">
        <f t="shared" ref="DQ9:DR9" si="89">_xlfn.CONCAT("{",$A18,"_",$C$15,"_",DQ16,"}")</f>
        <v>{handilbakti_jumlah_diperiksahbsag}</v>
      </c>
      <c r="DR9" s="6" t="str">
        <f t="shared" ref="DR9" si="90">_xlfn.CONCAT("{",$A18,"_",$D$15,"_",DQ16,"}")</f>
        <v>{handilbakti_persen_diperiksahbsag}</v>
      </c>
      <c r="DS9" s="6" t="str">
        <f t="shared" ref="DS9:DV9" si="91">_xlfn.CONCAT("{",$A18,"_",$C$15,"_",DS16,"}")</f>
        <v>{handilbakti_jumlah_positifhbsag}</v>
      </c>
      <c r="DT9" s="6" t="str">
        <f t="shared" ref="DT9:DV9" si="92">_xlfn.CONCAT("{",$A18,"_",$D$15,"_",DS16,"}")</f>
        <v>{handilbakti_persen_positifhbsag}</v>
      </c>
      <c r="DU9" s="6" t="str">
        <f t="shared" ref="DU9:DV9" si="93">_xlfn.CONCAT("{",$A18,"_",$C$15,"_",DU16,"}")</f>
        <v>{handilbakti_jumlah_hbsagtatalaksana}</v>
      </c>
      <c r="DV9" s="6" t="str">
        <f t="shared" ref="DV9" si="94">_xlfn.CONCAT("{",$A18,"_",$D$15,"_",DU16,"}")</f>
        <v>{handilbakti_persen_hbsagtatalaksana}</v>
      </c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</row>
    <row r="10" spans="1:156" x14ac:dyDescent="0.3">
      <c r="A10" s="8" t="s">
        <v>38</v>
      </c>
      <c r="B10" s="9"/>
      <c r="C10" s="9"/>
      <c r="D10" s="9"/>
      <c r="E10" s="9"/>
      <c r="F10" s="9"/>
      <c r="G10" s="9" t="s">
        <v>268</v>
      </c>
      <c r="H10" s="9" t="s">
        <v>269</v>
      </c>
      <c r="I10" s="9" t="s">
        <v>270</v>
      </c>
      <c r="J10" s="9" t="s">
        <v>271</v>
      </c>
      <c r="K10" s="9" t="s">
        <v>272</v>
      </c>
      <c r="L10" s="9" t="s">
        <v>273</v>
      </c>
      <c r="M10" s="9" t="s">
        <v>274</v>
      </c>
      <c r="N10" s="9" t="s">
        <v>275</v>
      </c>
      <c r="O10" s="9" t="s">
        <v>276</v>
      </c>
      <c r="P10" s="9" t="s">
        <v>277</v>
      </c>
      <c r="Q10" s="9" t="s">
        <v>278</v>
      </c>
      <c r="R10" s="9" t="s">
        <v>279</v>
      </c>
      <c r="S10" s="9" t="s">
        <v>280</v>
      </c>
      <c r="T10" s="9" t="s">
        <v>281</v>
      </c>
      <c r="U10" s="9" t="s">
        <v>282</v>
      </c>
      <c r="V10" s="9" t="s">
        <v>573</v>
      </c>
      <c r="W10" s="9" t="s">
        <v>574</v>
      </c>
      <c r="X10" s="9" t="s">
        <v>575</v>
      </c>
      <c r="Y10" s="9" t="s">
        <v>576</v>
      </c>
      <c r="Z10" s="9" t="s">
        <v>577</v>
      </c>
      <c r="AA10" s="9" t="s">
        <v>578</v>
      </c>
      <c r="AB10" s="9" t="s">
        <v>579</v>
      </c>
      <c r="AC10" s="9" t="s">
        <v>580</v>
      </c>
      <c r="AD10" s="9" t="s">
        <v>581</v>
      </c>
      <c r="AE10" s="9" t="s">
        <v>582</v>
      </c>
      <c r="AF10" s="9" t="s">
        <v>583</v>
      </c>
      <c r="AG10" s="9" t="s">
        <v>584</v>
      </c>
      <c r="AH10" s="9" t="s">
        <v>585</v>
      </c>
      <c r="AI10" s="9" t="s">
        <v>586</v>
      </c>
      <c r="AJ10" s="9" t="s">
        <v>587</v>
      </c>
      <c r="AK10" s="9" t="s">
        <v>588</v>
      </c>
      <c r="AL10" s="9" t="s">
        <v>589</v>
      </c>
      <c r="AM10" s="9" t="s">
        <v>590</v>
      </c>
      <c r="AN10" s="9" t="s">
        <v>591</v>
      </c>
      <c r="AO10" s="9" t="s">
        <v>592</v>
      </c>
      <c r="AP10" s="9" t="s">
        <v>593</v>
      </c>
      <c r="AQ10" s="9" t="s">
        <v>594</v>
      </c>
      <c r="AR10" s="9" t="s">
        <v>595</v>
      </c>
      <c r="AS10" s="9" t="s">
        <v>596</v>
      </c>
      <c r="AT10" s="9" t="s">
        <v>597</v>
      </c>
      <c r="AU10" s="9" t="s">
        <v>598</v>
      </c>
      <c r="AV10" s="9" t="s">
        <v>599</v>
      </c>
      <c r="AW10" s="9" t="s">
        <v>600</v>
      </c>
      <c r="AX10" s="9" t="s">
        <v>601</v>
      </c>
      <c r="AY10" s="9" t="s">
        <v>602</v>
      </c>
      <c r="AZ10" s="9" t="s">
        <v>603</v>
      </c>
      <c r="BA10" s="9" t="s">
        <v>604</v>
      </c>
      <c r="BB10" s="9" t="s">
        <v>605</v>
      </c>
      <c r="BC10" s="9" t="s">
        <v>606</v>
      </c>
      <c r="BD10" s="9" t="s">
        <v>607</v>
      </c>
      <c r="BE10" s="9" t="s">
        <v>608</v>
      </c>
      <c r="BF10" s="9" t="s">
        <v>609</v>
      </c>
      <c r="BG10" s="9" t="s">
        <v>610</v>
      </c>
      <c r="BH10" s="9" t="s">
        <v>611</v>
      </c>
      <c r="BI10" s="9" t="s">
        <v>612</v>
      </c>
      <c r="BJ10" s="9" t="s">
        <v>658</v>
      </c>
      <c r="BK10" s="9" t="s">
        <v>659</v>
      </c>
      <c r="BL10" s="9" t="s">
        <v>660</v>
      </c>
      <c r="BM10" s="9" t="s">
        <v>661</v>
      </c>
      <c r="BN10" s="9" t="s">
        <v>662</v>
      </c>
      <c r="BO10" s="9" t="s">
        <v>663</v>
      </c>
      <c r="BP10" s="9" t="s">
        <v>664</v>
      </c>
      <c r="BQ10" s="9" t="s">
        <v>665</v>
      </c>
      <c r="BR10" s="9" t="s">
        <v>666</v>
      </c>
      <c r="BS10" s="9" t="s">
        <v>667</v>
      </c>
      <c r="BT10" s="9" t="s">
        <v>668</v>
      </c>
      <c r="BU10" s="9" t="s">
        <v>669</v>
      </c>
      <c r="BV10" s="9" t="s">
        <v>670</v>
      </c>
      <c r="BW10" s="9" t="s">
        <v>671</v>
      </c>
      <c r="BX10" s="9" t="s">
        <v>672</v>
      </c>
      <c r="BY10" s="9" t="str">
        <f t="shared" si="38"/>
        <v>{total_jumlah_skriningproteinurin}</v>
      </c>
      <c r="BZ10" s="9" t="str">
        <f t="shared" si="39"/>
        <v>{total_persen_skriningproteinurin}</v>
      </c>
      <c r="CA10" s="9" t="str">
        <f t="shared" si="38"/>
        <v>{total_jumlah_positif+1}</v>
      </c>
      <c r="CB10" s="9" t="str">
        <f t="shared" si="39"/>
        <v>{total_persen_positif+1}</v>
      </c>
      <c r="CC10" s="9" t="str">
        <f t="shared" si="38"/>
        <v>{total_jumlah_positif+2}</v>
      </c>
      <c r="CD10" s="9" t="str">
        <f t="shared" si="39"/>
        <v>{total_persen_positif+2}</v>
      </c>
      <c r="CE10" s="9" t="str">
        <f t="shared" si="38"/>
        <v>{total_jumlah_positif+3}</v>
      </c>
      <c r="CF10" s="9" t="str">
        <f t="shared" si="39"/>
        <v>{total_persen_positif+3}</v>
      </c>
      <c r="CG10" s="9" t="str">
        <f t="shared" si="38"/>
        <v>{total_jumlah_positif+4}</v>
      </c>
      <c r="CH10" s="9" t="str">
        <f t="shared" si="39"/>
        <v>{total_persen_positif+4}</v>
      </c>
      <c r="CI10" s="9" t="str">
        <f t="shared" ref="CI10" si="95">_xlfn.CONCAT("{",$A19,"_",$C$15,"_",CI17,"}")</f>
        <v>{total_jumlah_diperiksaguladarah}</v>
      </c>
      <c r="CJ10" s="9" t="str">
        <f t="shared" ref="CJ10" si="96">_xlfn.CONCAT("{",$A19,"_",$D$15,"_",CI17,"}")</f>
        <v>{total_persen_diperiksaguladarah}</v>
      </c>
      <c r="CK10" s="9" t="str">
        <f t="shared" ref="CK10" si="97">_xlfn.CONCAT("{",$A19,"_",$C$15,"_",CK17,"}")</f>
        <v>{total_jumlah_guladarah_ringan}</v>
      </c>
      <c r="CL10" s="9" t="str">
        <f t="shared" ref="CL10" si="98">_xlfn.CONCAT("{",$A19,"_",$D$15,"_",CK17,"}")</f>
        <v>{total_persen_guladarah_ringan}</v>
      </c>
      <c r="CM10" s="9" t="str">
        <f t="shared" ref="CM10" si="99">_xlfn.CONCAT("{",$A19,"_",$C$15,"_",CM17,"}")</f>
        <v>{total_jumlah_guladarah_sedang}</v>
      </c>
      <c r="CN10" s="9" t="str">
        <f t="shared" ref="CN10" si="100">_xlfn.CONCAT("{",$A19,"_",$D$15,"_",CM17,"}")</f>
        <v>{total_persen_guladarah_sedang}</v>
      </c>
      <c r="CO10" s="9" t="str">
        <f t="shared" ref="CO10" si="101">_xlfn.CONCAT("{",$A19,"_",$C$15,"_",CO17,"}")</f>
        <v>{total_jumlah_guladarah_berat}</v>
      </c>
      <c r="CP10" s="9" t="str">
        <f t="shared" ref="CP10" si="102">_xlfn.CONCAT("{",$A19,"_",$D$15,"_",CO17,"}")</f>
        <v>{total_persen_guladarah_berat}</v>
      </c>
      <c r="CQ10" s="9" t="str">
        <f t="shared" ref="CQ10" si="103">_xlfn.CONCAT("{",$A19,"_",$C$15,"_",CQ17,"}")</f>
        <v>{total_jumlah_diperiksaahiv}</v>
      </c>
      <c r="CR10" s="9" t="str">
        <f t="shared" ref="CR10" si="104">_xlfn.CONCAT("{",$A19,"_",$D$15,"_",CQ17,"}")</f>
        <v>{total_persen_diperiksaahiv}</v>
      </c>
      <c r="CS10" s="9" t="str">
        <f t="shared" ref="CS10" si="105">_xlfn.CONCAT("{",$A19,"_",$C$15,"_",CS17,"}")</f>
        <v>{total_jumlah_hivpositif}</v>
      </c>
      <c r="CT10" s="9" t="str">
        <f t="shared" ref="CT10" si="106">_xlfn.CONCAT("{",$A19,"_",$D$15,"_",CS17,"}")</f>
        <v>{total_persen_hivpositif}</v>
      </c>
      <c r="CU10" s="9" t="str">
        <f t="shared" ref="CU10" si="107">_xlfn.CONCAT("{",$A19,"_",$C$15,"_",CU17,"}")</f>
        <v>{total_jumlah_bumil_mendapatart}</v>
      </c>
      <c r="CV10" s="9" t="str">
        <f t="shared" ref="CV10" si="108">_xlfn.CONCAT("{",$A19,"_",$D$15,"_",CU17,"}")</f>
        <v>{total_persen_bumil_mendapatart}</v>
      </c>
      <c r="CW10" s="9" t="str">
        <f t="shared" si="54"/>
        <v>{total_hiv_persalinannormal}</v>
      </c>
      <c r="CX10" s="9" t="str">
        <f t="shared" si="54"/>
        <v>{total_hiv_persalinansectio}</v>
      </c>
      <c r="CY10" s="9" t="str">
        <f t="shared" si="55"/>
        <v>{total_jumlah_diperiksamalaria}</v>
      </c>
      <c r="CZ10" s="9" t="str">
        <f t="shared" si="56"/>
        <v>{total_persen_diperiksamalaria}</v>
      </c>
      <c r="DA10" s="9" t="str">
        <f t="shared" si="55"/>
        <v>{total_jumlah_positifmalaria}</v>
      </c>
      <c r="DB10" s="9" t="str">
        <f t="shared" si="56"/>
        <v>{total_persen_positifmalaria}</v>
      </c>
      <c r="DC10" s="9" t="str">
        <f t="shared" si="55"/>
        <v>{total_jumlah_malariatatalaksana}</v>
      </c>
      <c r="DD10" s="9" t="str">
        <f t="shared" si="56"/>
        <v>{total_persen_malariatatalaksana}</v>
      </c>
      <c r="DE10" s="9" t="str">
        <f t="shared" si="55"/>
        <v>{total_jumlah_diperiksacacingan}</v>
      </c>
      <c r="DF10" s="9" t="str">
        <f t="shared" si="56"/>
        <v>{total_persen_diperiksacacingan}</v>
      </c>
      <c r="DG10" s="9" t="str">
        <f t="shared" si="55"/>
        <v>{total_jumlah_positifcacingan}</v>
      </c>
      <c r="DH10" s="9" t="str">
        <f t="shared" si="56"/>
        <v>{total_persen_positifcacingan}</v>
      </c>
      <c r="DI10" s="9" t="str">
        <f t="shared" si="55"/>
        <v>{total_jumlah_cacingantatalaksana}</v>
      </c>
      <c r="DJ10" s="9" t="str">
        <f t="shared" si="56"/>
        <v>{total_persen_cacingantatalaksana}</v>
      </c>
      <c r="DK10" s="9" t="str">
        <f t="shared" ref="DK10:DR10" si="109">_xlfn.CONCAT("{",$A19,"_",$C$15,"_",DK17,"}")</f>
        <v>{total_jumlah_diperiksaims}</v>
      </c>
      <c r="DL10" s="9" t="str">
        <f t="shared" ref="DL10:DR10" si="110">_xlfn.CONCAT("{",$A19,"_",$D$15,"_",DK17,"}")</f>
        <v>{total_persen_diperiksaims}</v>
      </c>
      <c r="DM10" s="9" t="str">
        <f t="shared" ref="DM10:DR10" si="111">_xlfn.CONCAT("{",$A19,"_",$C$15,"_",DM17,"}")</f>
        <v>{total_jumlah_positifims}</v>
      </c>
      <c r="DN10" s="9" t="str">
        <f t="shared" ref="DN10:DR10" si="112">_xlfn.CONCAT("{",$A19,"_",$D$15,"_",DM17,"}")</f>
        <v>{total_persen_positifims}</v>
      </c>
      <c r="DO10" s="9" t="str">
        <f t="shared" ref="DO10:DR10" si="113">_xlfn.CONCAT("{",$A19,"_",$C$15,"_",DO17,"}")</f>
        <v>{total_jumlah_imstatalaksana}</v>
      </c>
      <c r="DP10" s="9" t="str">
        <f t="shared" ref="DP10:DR10" si="114">_xlfn.CONCAT("{",$A19,"_",$D$15,"_",DO17,"}")</f>
        <v>{total_persen_imstatalaksana}</v>
      </c>
      <c r="DQ10" s="9" t="str">
        <f t="shared" ref="DQ10:DR10" si="115">_xlfn.CONCAT("{",$A19,"_",$C$15,"_",DQ17,"}")</f>
        <v>{total_jumlah_diperiksahbsag}</v>
      </c>
      <c r="DR10" s="9" t="str">
        <f t="shared" ref="DR10" si="116">_xlfn.CONCAT("{",$A19,"_",$D$15,"_",DQ17,"}")</f>
        <v>{total_persen_diperiksahbsag}</v>
      </c>
      <c r="DS10" s="9" t="str">
        <f t="shared" ref="DS10:DV10" si="117">_xlfn.CONCAT("{",$A19,"_",$C$15,"_",DS17,"}")</f>
        <v>{total_jumlah_positifhbsag}</v>
      </c>
      <c r="DT10" s="9" t="str">
        <f t="shared" ref="DT10:DV10" si="118">_xlfn.CONCAT("{",$A19,"_",$D$15,"_",DS17,"}")</f>
        <v>{total_persen_positifhbsag}</v>
      </c>
      <c r="DU10" s="9" t="str">
        <f t="shared" ref="DU10:DV10" si="119">_xlfn.CONCAT("{",$A19,"_",$C$15,"_",DU17,"}")</f>
        <v>{total_jumlah_hbsagtatalaksana}</v>
      </c>
      <c r="DV10" s="9" t="str">
        <f t="shared" ref="DV10" si="120">_xlfn.CONCAT("{",$A19,"_",$D$15,"_",DU17,"}")</f>
        <v>{total_persen_hbsagtatalaksana}</v>
      </c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</row>
    <row r="11" spans="1:156" x14ac:dyDescent="0.3">
      <c r="G11" s="52" t="s">
        <v>59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 t="s">
        <v>60</v>
      </c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5" t="s">
        <v>74</v>
      </c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67" t="s">
        <v>80</v>
      </c>
      <c r="BZ11" s="68"/>
      <c r="CA11" s="68"/>
      <c r="CB11" s="68"/>
      <c r="CC11" s="68"/>
      <c r="CD11" s="68"/>
      <c r="CE11" s="68"/>
      <c r="CF11" s="68"/>
      <c r="CG11" s="68"/>
      <c r="CH11" s="69"/>
      <c r="CI11" s="59" t="s">
        <v>85</v>
      </c>
      <c r="CJ11" s="59"/>
      <c r="CK11" s="59"/>
      <c r="CL11" s="59"/>
      <c r="CM11" s="59"/>
      <c r="CN11" s="59"/>
      <c r="CO11" s="59"/>
      <c r="CP11" s="59"/>
      <c r="CQ11" s="63" t="s">
        <v>95</v>
      </c>
      <c r="CR11" s="63"/>
      <c r="CS11" s="63"/>
      <c r="CT11" s="63"/>
      <c r="CU11" s="63"/>
      <c r="CV11" s="63"/>
      <c r="CW11" s="63"/>
      <c r="CX11" s="63"/>
      <c r="CY11" s="58" t="s">
        <v>96</v>
      </c>
      <c r="CZ11" s="58"/>
      <c r="DA11" s="58"/>
      <c r="DB11" s="58"/>
      <c r="DC11" s="58"/>
      <c r="DD11" s="58"/>
      <c r="DE11" s="52" t="s">
        <v>100</v>
      </c>
      <c r="DF11" s="52"/>
      <c r="DG11" s="52"/>
      <c r="DH11" s="52"/>
      <c r="DI11" s="52"/>
      <c r="DJ11" s="52"/>
      <c r="DK11" s="58" t="s">
        <v>103</v>
      </c>
      <c r="DL11" s="58"/>
      <c r="DM11" s="58"/>
      <c r="DN11" s="58"/>
      <c r="DO11" s="58"/>
      <c r="DP11" s="58"/>
      <c r="DQ11" s="55" t="s">
        <v>106</v>
      </c>
      <c r="DR11" s="55"/>
      <c r="DS11" s="55"/>
      <c r="DT11" s="55"/>
      <c r="DU11" s="55"/>
      <c r="DV11" s="55"/>
      <c r="DW11" s="39" t="s">
        <v>141</v>
      </c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</row>
    <row r="14" spans="1:156" x14ac:dyDescent="0.3">
      <c r="V14" t="s">
        <v>426</v>
      </c>
      <c r="X14" t="s">
        <v>427</v>
      </c>
      <c r="Z14" t="s">
        <v>428</v>
      </c>
      <c r="AB14" t="s">
        <v>429</v>
      </c>
      <c r="AD14" t="s">
        <v>430</v>
      </c>
      <c r="AF14" t="s">
        <v>431</v>
      </c>
      <c r="AH14" t="s">
        <v>432</v>
      </c>
      <c r="AJ14" t="s">
        <v>433</v>
      </c>
      <c r="AL14" t="s">
        <v>434</v>
      </c>
      <c r="AN14" t="s">
        <v>435</v>
      </c>
      <c r="AP14" t="s">
        <v>436</v>
      </c>
      <c r="AR14" t="s">
        <v>437</v>
      </c>
      <c r="AT14" t="s">
        <v>441</v>
      </c>
      <c r="AV14" t="s">
        <v>442</v>
      </c>
      <c r="AX14" t="s">
        <v>443</v>
      </c>
      <c r="AZ14" t="s">
        <v>444</v>
      </c>
      <c r="BB14" t="s">
        <v>445</v>
      </c>
      <c r="BD14" t="s">
        <v>446</v>
      </c>
      <c r="BF14" t="s">
        <v>447</v>
      </c>
      <c r="BH14" t="s">
        <v>448</v>
      </c>
      <c r="BJ14" t="s">
        <v>452</v>
      </c>
      <c r="BK14" t="s">
        <v>441</v>
      </c>
      <c r="BL14" t="s">
        <v>442</v>
      </c>
      <c r="BM14" t="s">
        <v>443</v>
      </c>
      <c r="BN14" t="s">
        <v>444</v>
      </c>
      <c r="BY14" t="s">
        <v>673</v>
      </c>
      <c r="CA14" t="s">
        <v>674</v>
      </c>
      <c r="CC14" t="s">
        <v>675</v>
      </c>
      <c r="CE14" t="s">
        <v>676</v>
      </c>
      <c r="CG14" t="s">
        <v>677</v>
      </c>
      <c r="CI14" t="s">
        <v>678</v>
      </c>
      <c r="CK14" t="s">
        <v>681</v>
      </c>
      <c r="CM14" t="s">
        <v>679</v>
      </c>
      <c r="CO14" t="s">
        <v>680</v>
      </c>
      <c r="CQ14" t="s">
        <v>682</v>
      </c>
      <c r="CS14" t="s">
        <v>683</v>
      </c>
      <c r="CU14" t="s">
        <v>684</v>
      </c>
      <c r="CW14" t="s">
        <v>685</v>
      </c>
      <c r="CX14" t="s">
        <v>686</v>
      </c>
      <c r="CY14" t="s">
        <v>687</v>
      </c>
      <c r="DA14" t="s">
        <v>688</v>
      </c>
      <c r="DC14" t="s">
        <v>689</v>
      </c>
      <c r="DE14" t="s">
        <v>690</v>
      </c>
      <c r="DG14" t="s">
        <v>691</v>
      </c>
      <c r="DI14" t="s">
        <v>692</v>
      </c>
      <c r="DK14" t="s">
        <v>693</v>
      </c>
      <c r="DM14" t="s">
        <v>694</v>
      </c>
      <c r="DO14" t="s">
        <v>695</v>
      </c>
      <c r="DQ14" t="s">
        <v>696</v>
      </c>
      <c r="DS14" t="s">
        <v>697</v>
      </c>
      <c r="DU14" t="s">
        <v>698</v>
      </c>
    </row>
    <row r="15" spans="1:156" x14ac:dyDescent="0.3">
      <c r="C15" t="s">
        <v>311</v>
      </c>
      <c r="D15" t="s">
        <v>312</v>
      </c>
      <c r="V15" t="s">
        <v>426</v>
      </c>
      <c r="X15" t="s">
        <v>427</v>
      </c>
      <c r="Z15" t="s">
        <v>428</v>
      </c>
      <c r="AB15" t="s">
        <v>429</v>
      </c>
      <c r="AD15" t="s">
        <v>430</v>
      </c>
      <c r="AF15" t="s">
        <v>431</v>
      </c>
      <c r="AH15" t="s">
        <v>432</v>
      </c>
      <c r="AJ15" t="s">
        <v>433</v>
      </c>
      <c r="AL15" t="s">
        <v>434</v>
      </c>
      <c r="AN15" t="s">
        <v>435</v>
      </c>
      <c r="AP15" t="s">
        <v>436</v>
      </c>
      <c r="AR15" t="s">
        <v>438</v>
      </c>
      <c r="AT15" t="s">
        <v>441</v>
      </c>
      <c r="AV15" t="s">
        <v>442</v>
      </c>
      <c r="AX15" t="s">
        <v>443</v>
      </c>
      <c r="AZ15" t="s">
        <v>444</v>
      </c>
      <c r="BB15" t="s">
        <v>445</v>
      </c>
      <c r="BD15" t="s">
        <v>446</v>
      </c>
      <c r="BF15" t="s">
        <v>447</v>
      </c>
      <c r="BH15" t="s">
        <v>448</v>
      </c>
      <c r="BJ15" t="s">
        <v>452</v>
      </c>
      <c r="BK15" t="s">
        <v>441</v>
      </c>
      <c r="BL15" t="s">
        <v>442</v>
      </c>
      <c r="BM15" t="s">
        <v>443</v>
      </c>
      <c r="BN15" t="s">
        <v>444</v>
      </c>
      <c r="BY15" t="s">
        <v>673</v>
      </c>
      <c r="CA15" t="s">
        <v>674</v>
      </c>
      <c r="CC15" t="s">
        <v>675</v>
      </c>
      <c r="CE15" t="s">
        <v>676</v>
      </c>
      <c r="CG15" t="s">
        <v>677</v>
      </c>
      <c r="CI15" t="s">
        <v>678</v>
      </c>
      <c r="CK15" t="s">
        <v>681</v>
      </c>
      <c r="CM15" t="s">
        <v>679</v>
      </c>
      <c r="CO15" t="s">
        <v>680</v>
      </c>
      <c r="CQ15" t="s">
        <v>682</v>
      </c>
      <c r="CS15" t="s">
        <v>683</v>
      </c>
      <c r="CU15" t="s">
        <v>684</v>
      </c>
      <c r="CW15" t="s">
        <v>685</v>
      </c>
      <c r="CX15" t="s">
        <v>686</v>
      </c>
      <c r="CY15" t="s">
        <v>687</v>
      </c>
      <c r="DA15" t="s">
        <v>688</v>
      </c>
      <c r="DC15" t="s">
        <v>689</v>
      </c>
      <c r="DE15" t="s">
        <v>690</v>
      </c>
      <c r="DG15" t="s">
        <v>691</v>
      </c>
      <c r="DI15" t="s">
        <v>692</v>
      </c>
      <c r="DK15" t="s">
        <v>693</v>
      </c>
      <c r="DM15" t="s">
        <v>694</v>
      </c>
      <c r="DO15" t="s">
        <v>695</v>
      </c>
      <c r="DQ15" t="s">
        <v>696</v>
      </c>
      <c r="DS15" t="s">
        <v>697</v>
      </c>
      <c r="DU15" t="s">
        <v>698</v>
      </c>
    </row>
    <row r="16" spans="1:156" x14ac:dyDescent="0.3">
      <c r="A16" t="s">
        <v>307</v>
      </c>
      <c r="V16" t="s">
        <v>426</v>
      </c>
      <c r="X16" t="s">
        <v>427</v>
      </c>
      <c r="Z16" t="s">
        <v>428</v>
      </c>
      <c r="AB16" t="s">
        <v>429</v>
      </c>
      <c r="AD16" t="s">
        <v>430</v>
      </c>
      <c r="AF16" t="s">
        <v>431</v>
      </c>
      <c r="AH16" t="s">
        <v>432</v>
      </c>
      <c r="AJ16" t="s">
        <v>433</v>
      </c>
      <c r="AL16" t="s">
        <v>434</v>
      </c>
      <c r="AN16" t="s">
        <v>435</v>
      </c>
      <c r="AP16" t="s">
        <v>436</v>
      </c>
      <c r="AR16" t="s">
        <v>439</v>
      </c>
      <c r="AT16" t="s">
        <v>441</v>
      </c>
      <c r="AV16" t="s">
        <v>442</v>
      </c>
      <c r="AX16" t="s">
        <v>443</v>
      </c>
      <c r="AZ16" t="s">
        <v>444</v>
      </c>
      <c r="BB16" t="s">
        <v>445</v>
      </c>
      <c r="BD16" t="s">
        <v>446</v>
      </c>
      <c r="BF16" t="s">
        <v>447</v>
      </c>
      <c r="BH16" t="s">
        <v>448</v>
      </c>
      <c r="BJ16" t="s">
        <v>452</v>
      </c>
      <c r="BK16" t="s">
        <v>441</v>
      </c>
      <c r="BL16" t="s">
        <v>442</v>
      </c>
      <c r="BM16" t="s">
        <v>443</v>
      </c>
      <c r="BN16" t="s">
        <v>444</v>
      </c>
      <c r="BY16" t="s">
        <v>673</v>
      </c>
      <c r="CA16" t="s">
        <v>674</v>
      </c>
      <c r="CC16" t="s">
        <v>675</v>
      </c>
      <c r="CE16" t="s">
        <v>676</v>
      </c>
      <c r="CG16" t="s">
        <v>677</v>
      </c>
      <c r="CI16" t="s">
        <v>678</v>
      </c>
      <c r="CK16" t="s">
        <v>681</v>
      </c>
      <c r="CM16" t="s">
        <v>679</v>
      </c>
      <c r="CO16" t="s">
        <v>680</v>
      </c>
      <c r="CQ16" t="s">
        <v>682</v>
      </c>
      <c r="CS16" t="s">
        <v>683</v>
      </c>
      <c r="CU16" t="s">
        <v>684</v>
      </c>
      <c r="CW16" t="s">
        <v>685</v>
      </c>
      <c r="CX16" t="s">
        <v>686</v>
      </c>
      <c r="CY16" t="s">
        <v>687</v>
      </c>
      <c r="DA16" t="s">
        <v>688</v>
      </c>
      <c r="DC16" t="s">
        <v>689</v>
      </c>
      <c r="DE16" t="s">
        <v>690</v>
      </c>
      <c r="DG16" t="s">
        <v>691</v>
      </c>
      <c r="DI16" t="s">
        <v>692</v>
      </c>
      <c r="DK16" t="s">
        <v>693</v>
      </c>
      <c r="DM16" t="s">
        <v>694</v>
      </c>
      <c r="DO16" t="s">
        <v>695</v>
      </c>
      <c r="DQ16" t="s">
        <v>696</v>
      </c>
      <c r="DS16" t="s">
        <v>697</v>
      </c>
      <c r="DU16" t="s">
        <v>698</v>
      </c>
    </row>
    <row r="17" spans="1:125" x14ac:dyDescent="0.3">
      <c r="A17" t="s">
        <v>308</v>
      </c>
      <c r="V17" t="s">
        <v>426</v>
      </c>
      <c r="X17" t="s">
        <v>427</v>
      </c>
      <c r="Z17" t="s">
        <v>428</v>
      </c>
      <c r="AB17" t="s">
        <v>429</v>
      </c>
      <c r="AD17" t="s">
        <v>430</v>
      </c>
      <c r="AF17" t="s">
        <v>431</v>
      </c>
      <c r="AH17" t="s">
        <v>432</v>
      </c>
      <c r="AJ17" t="s">
        <v>433</v>
      </c>
      <c r="AL17" t="s">
        <v>434</v>
      </c>
      <c r="AN17" t="s">
        <v>435</v>
      </c>
      <c r="AP17" t="s">
        <v>436</v>
      </c>
      <c r="AR17" t="s">
        <v>440</v>
      </c>
      <c r="AT17" t="s">
        <v>441</v>
      </c>
      <c r="AV17" t="s">
        <v>442</v>
      </c>
      <c r="AX17" t="s">
        <v>443</v>
      </c>
      <c r="AZ17" t="s">
        <v>444</v>
      </c>
      <c r="BB17" t="s">
        <v>445</v>
      </c>
      <c r="BD17" t="s">
        <v>446</v>
      </c>
      <c r="BF17" t="s">
        <v>447</v>
      </c>
      <c r="BH17" t="s">
        <v>448</v>
      </c>
      <c r="BJ17" t="s">
        <v>452</v>
      </c>
      <c r="BK17" t="s">
        <v>441</v>
      </c>
      <c r="BL17" t="s">
        <v>442</v>
      </c>
      <c r="BM17" t="s">
        <v>443</v>
      </c>
      <c r="BN17" t="s">
        <v>444</v>
      </c>
      <c r="BY17" t="s">
        <v>673</v>
      </c>
      <c r="CA17" t="s">
        <v>674</v>
      </c>
      <c r="CC17" t="s">
        <v>675</v>
      </c>
      <c r="CE17" t="s">
        <v>676</v>
      </c>
      <c r="CG17" t="s">
        <v>677</v>
      </c>
      <c r="CI17" t="s">
        <v>678</v>
      </c>
      <c r="CK17" t="s">
        <v>681</v>
      </c>
      <c r="CM17" t="s">
        <v>679</v>
      </c>
      <c r="CO17" t="s">
        <v>680</v>
      </c>
      <c r="CQ17" t="s">
        <v>682</v>
      </c>
      <c r="CS17" t="s">
        <v>683</v>
      </c>
      <c r="CU17" t="s">
        <v>684</v>
      </c>
      <c r="CW17" t="s">
        <v>685</v>
      </c>
      <c r="CX17" t="s">
        <v>686</v>
      </c>
      <c r="CY17" t="s">
        <v>687</v>
      </c>
      <c r="DA17" t="s">
        <v>688</v>
      </c>
      <c r="DC17" t="s">
        <v>689</v>
      </c>
      <c r="DE17" t="s">
        <v>690</v>
      </c>
      <c r="DG17" t="s">
        <v>691</v>
      </c>
      <c r="DI17" t="s">
        <v>692</v>
      </c>
      <c r="DK17" t="s">
        <v>693</v>
      </c>
      <c r="DM17" t="s">
        <v>694</v>
      </c>
      <c r="DO17" t="s">
        <v>695</v>
      </c>
      <c r="DQ17" t="s">
        <v>696</v>
      </c>
      <c r="DS17" t="s">
        <v>697</v>
      </c>
      <c r="DU17" t="s">
        <v>698</v>
      </c>
    </row>
    <row r="18" spans="1:125" x14ac:dyDescent="0.3">
      <c r="A18" t="s">
        <v>309</v>
      </c>
      <c r="C18" t="s">
        <v>449</v>
      </c>
      <c r="D18" t="s">
        <v>450</v>
      </c>
      <c r="E18" t="s">
        <v>451</v>
      </c>
    </row>
    <row r="19" spans="1:125" x14ac:dyDescent="0.3">
      <c r="A19" t="s">
        <v>310</v>
      </c>
    </row>
  </sheetData>
  <mergeCells count="117">
    <mergeCell ref="BY11:CH11"/>
    <mergeCell ref="DQ4:DR5"/>
    <mergeCell ref="DS4:DT5"/>
    <mergeCell ref="DU4:DV5"/>
    <mergeCell ref="DQ11:DV11"/>
    <mergeCell ref="DW4:DX5"/>
    <mergeCell ref="DI4:DJ5"/>
    <mergeCell ref="DE11:DJ11"/>
    <mergeCell ref="DK4:DL5"/>
    <mergeCell ref="DM4:DN5"/>
    <mergeCell ref="DO4:DP5"/>
    <mergeCell ref="DK11:DP11"/>
    <mergeCell ref="CY4:CZ5"/>
    <mergeCell ref="DA4:DB5"/>
    <mergeCell ref="DC4:DD5"/>
    <mergeCell ref="CY11:DD11"/>
    <mergeCell ref="DE4:DF5"/>
    <mergeCell ref="DG4:DH5"/>
    <mergeCell ref="CO4:CP5"/>
    <mergeCell ref="CI11:CP11"/>
    <mergeCell ref="CQ4:CR5"/>
    <mergeCell ref="CS4:CT5"/>
    <mergeCell ref="CU4:CV5"/>
    <mergeCell ref="CW4:CX4"/>
    <mergeCell ref="CW5:CW6"/>
    <mergeCell ref="CX5:CX6"/>
    <mergeCell ref="CQ11:CX11"/>
    <mergeCell ref="CE4:CF5"/>
    <mergeCell ref="CG4:CH5"/>
    <mergeCell ref="CI4:CJ5"/>
    <mergeCell ref="CK4:CL5"/>
    <mergeCell ref="CM4:CN5"/>
    <mergeCell ref="AL11:BX11"/>
    <mergeCell ref="BY4:BZ5"/>
    <mergeCell ref="CA4:CB5"/>
    <mergeCell ref="CC4:CD5"/>
    <mergeCell ref="BT4:BX4"/>
    <mergeCell ref="BT5:BT6"/>
    <mergeCell ref="BU5:BU6"/>
    <mergeCell ref="BV5:BV6"/>
    <mergeCell ref="BW5:BW6"/>
    <mergeCell ref="BX5:BX6"/>
    <mergeCell ref="BM5:BM6"/>
    <mergeCell ref="BN5:BN6"/>
    <mergeCell ref="BJ4:BN4"/>
    <mergeCell ref="BO4:BS4"/>
    <mergeCell ref="BO5:BO6"/>
    <mergeCell ref="BP5:BP6"/>
    <mergeCell ref="BQ5:BQ6"/>
    <mergeCell ref="BF4:BG5"/>
    <mergeCell ref="BH4:BI5"/>
    <mergeCell ref="BJ5:BJ6"/>
    <mergeCell ref="BK5:BK6"/>
    <mergeCell ref="BL5:BL6"/>
    <mergeCell ref="AR4:AS5"/>
    <mergeCell ref="AT4:AU5"/>
    <mergeCell ref="AV4:AW5"/>
    <mergeCell ref="AX4:AY5"/>
    <mergeCell ref="AZ4:BA5"/>
    <mergeCell ref="BB4:BC5"/>
    <mergeCell ref="G11:U11"/>
    <mergeCell ref="V11:AK11"/>
    <mergeCell ref="AL4:AM5"/>
    <mergeCell ref="AN4:AO5"/>
    <mergeCell ref="AP4:AQ5"/>
    <mergeCell ref="Z4:AA5"/>
    <mergeCell ref="AB4:AC5"/>
    <mergeCell ref="AD4:AE5"/>
    <mergeCell ref="AF4:AG5"/>
    <mergeCell ref="AH4:AI5"/>
    <mergeCell ref="V4:W5"/>
    <mergeCell ref="X4:Y5"/>
    <mergeCell ref="Q4:U4"/>
    <mergeCell ref="Q5:Q6"/>
    <mergeCell ref="R5:R6"/>
    <mergeCell ref="S5:S6"/>
    <mergeCell ref="T5:T6"/>
    <mergeCell ref="U5:U6"/>
    <mergeCell ref="K5:K6"/>
    <mergeCell ref="L4:P4"/>
    <mergeCell ref="L5:L6"/>
    <mergeCell ref="M5:M6"/>
    <mergeCell ref="N5:N6"/>
    <mergeCell ref="A2:C3"/>
    <mergeCell ref="A4:A6"/>
    <mergeCell ref="B5:B6"/>
    <mergeCell ref="C5:C6"/>
    <mergeCell ref="DY4:DZ5"/>
    <mergeCell ref="EA4:EB5"/>
    <mergeCell ref="EC4:ED5"/>
    <mergeCell ref="EE4:EF5"/>
    <mergeCell ref="EG4:EH5"/>
    <mergeCell ref="O5:O6"/>
    <mergeCell ref="P5:P6"/>
    <mergeCell ref="D5:D6"/>
    <mergeCell ref="E5:E6"/>
    <mergeCell ref="F5:F6"/>
    <mergeCell ref="B4:F4"/>
    <mergeCell ref="G4:K4"/>
    <mergeCell ref="G5:G6"/>
    <mergeCell ref="H5:H6"/>
    <mergeCell ref="I5:I6"/>
    <mergeCell ref="J5:J6"/>
    <mergeCell ref="AJ4:AK5"/>
    <mergeCell ref="BR5:BR6"/>
    <mergeCell ref="BS5:BS6"/>
    <mergeCell ref="BD4:BE5"/>
    <mergeCell ref="EY4:EZ5"/>
    <mergeCell ref="DW11:EZ11"/>
    <mergeCell ref="EI4:EJ5"/>
    <mergeCell ref="EK4:EL5"/>
    <mergeCell ref="EM4:EN5"/>
    <mergeCell ref="EO4:EP5"/>
    <mergeCell ref="EQ4:ER5"/>
    <mergeCell ref="ES4:ET5"/>
    <mergeCell ref="EU4:EV5"/>
    <mergeCell ref="EW4:EX5"/>
  </mergeCells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EBEF4-F372-4BFF-8840-0C2DCED1A7B3}">
  <sheetPr codeName="Sheet4">
    <tabColor rgb="FFFFFF00"/>
  </sheetPr>
  <dimension ref="A1:BD11"/>
  <sheetViews>
    <sheetView showGridLines="0" topLeftCell="AF1" zoomScale="90" zoomScaleNormal="90" workbookViewId="0">
      <selection activeCell="AA4" sqref="AA4:BD11"/>
    </sheetView>
  </sheetViews>
  <sheetFormatPr defaultRowHeight="14.4" x14ac:dyDescent="0.3"/>
  <cols>
    <col min="1" max="1" width="15.6640625" customWidth="1"/>
  </cols>
  <sheetData>
    <row r="1" spans="1:56" ht="15.6" x14ac:dyDescent="0.3">
      <c r="A1" s="1" t="s">
        <v>0</v>
      </c>
      <c r="B1" s="2"/>
      <c r="C1" s="5" t="s">
        <v>2</v>
      </c>
      <c r="D1" s="1"/>
      <c r="E1" s="1"/>
      <c r="F1" s="1"/>
    </row>
    <row r="2" spans="1:56" ht="15.6" x14ac:dyDescent="0.3">
      <c r="A2" s="29" t="s">
        <v>1</v>
      </c>
      <c r="B2" s="29"/>
      <c r="C2" s="29"/>
      <c r="D2" s="1"/>
      <c r="E2" s="1"/>
      <c r="F2" s="1"/>
    </row>
    <row r="3" spans="1:56" ht="15.6" x14ac:dyDescent="0.3">
      <c r="A3" s="29"/>
      <c r="B3" s="29"/>
      <c r="C3" s="29"/>
      <c r="D3" s="1"/>
      <c r="E3" s="1"/>
      <c r="F3" s="1"/>
    </row>
    <row r="4" spans="1:56" ht="15.6" customHeight="1" x14ac:dyDescent="0.3">
      <c r="A4" s="30" t="s">
        <v>6</v>
      </c>
      <c r="B4" s="46" t="s">
        <v>7</v>
      </c>
      <c r="C4" s="47"/>
      <c r="D4" s="47"/>
      <c r="E4" s="47"/>
      <c r="F4" s="48"/>
      <c r="G4" s="64" t="s">
        <v>120</v>
      </c>
      <c r="H4" s="64"/>
      <c r="I4" s="64" t="s">
        <v>121</v>
      </c>
      <c r="J4" s="64"/>
      <c r="K4" s="64" t="s">
        <v>122</v>
      </c>
      <c r="L4" s="64"/>
      <c r="M4" s="64" t="s">
        <v>123</v>
      </c>
      <c r="N4" s="64"/>
      <c r="O4" s="33" t="s">
        <v>133</v>
      </c>
      <c r="P4" s="33"/>
      <c r="Q4" s="33" t="s">
        <v>134</v>
      </c>
      <c r="R4" s="33"/>
      <c r="S4" s="33" t="s">
        <v>135</v>
      </c>
      <c r="T4" s="33"/>
      <c r="U4" s="33" t="s">
        <v>136</v>
      </c>
      <c r="V4" s="33"/>
      <c r="W4" s="33" t="s">
        <v>137</v>
      </c>
      <c r="X4" s="33"/>
      <c r="Y4" s="33" t="s">
        <v>138</v>
      </c>
      <c r="Z4" s="33"/>
      <c r="AA4" s="38" t="s">
        <v>140</v>
      </c>
      <c r="AB4" s="38"/>
      <c r="AC4" s="38" t="s">
        <v>107</v>
      </c>
      <c r="AD4" s="38"/>
      <c r="AE4" s="38" t="s">
        <v>108</v>
      </c>
      <c r="AF4" s="38"/>
      <c r="AG4" s="38" t="s">
        <v>109</v>
      </c>
      <c r="AH4" s="38"/>
      <c r="AI4" s="38" t="s">
        <v>110</v>
      </c>
      <c r="AJ4" s="38"/>
      <c r="AK4" s="38" t="s">
        <v>111</v>
      </c>
      <c r="AL4" s="38"/>
      <c r="AM4" s="38" t="s">
        <v>142</v>
      </c>
      <c r="AN4" s="38"/>
      <c r="AO4" s="38" t="s">
        <v>112</v>
      </c>
      <c r="AP4" s="38"/>
      <c r="AQ4" s="40" t="s">
        <v>113</v>
      </c>
      <c r="AR4" s="41"/>
      <c r="AS4" s="40" t="s">
        <v>114</v>
      </c>
      <c r="AT4" s="41"/>
      <c r="AU4" s="40" t="s">
        <v>115</v>
      </c>
      <c r="AV4" s="41"/>
      <c r="AW4" s="40" t="s">
        <v>116</v>
      </c>
      <c r="AX4" s="41"/>
      <c r="AY4" s="40" t="s">
        <v>117</v>
      </c>
      <c r="AZ4" s="41"/>
      <c r="BA4" s="40" t="s">
        <v>118</v>
      </c>
      <c r="BB4" s="41"/>
      <c r="BC4" s="38" t="s">
        <v>119</v>
      </c>
      <c r="BD4" s="38"/>
    </row>
    <row r="5" spans="1:56" ht="14.4" customHeight="1" x14ac:dyDescent="0.3">
      <c r="A5" s="30"/>
      <c r="B5" s="44" t="s">
        <v>8</v>
      </c>
      <c r="C5" s="44" t="s">
        <v>9</v>
      </c>
      <c r="D5" s="44" t="s">
        <v>39</v>
      </c>
      <c r="E5" s="44" t="s">
        <v>40</v>
      </c>
      <c r="F5" s="44" t="s">
        <v>41</v>
      </c>
      <c r="G5" s="64"/>
      <c r="H5" s="64"/>
      <c r="I5" s="64"/>
      <c r="J5" s="64"/>
      <c r="K5" s="64"/>
      <c r="L5" s="64"/>
      <c r="M5" s="64"/>
      <c r="N5" s="64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42"/>
      <c r="AR5" s="43"/>
      <c r="AS5" s="42"/>
      <c r="AT5" s="43"/>
      <c r="AU5" s="42"/>
      <c r="AV5" s="43"/>
      <c r="AW5" s="42"/>
      <c r="AX5" s="43"/>
      <c r="AY5" s="42"/>
      <c r="AZ5" s="43"/>
      <c r="BA5" s="42"/>
      <c r="BB5" s="43"/>
      <c r="BC5" s="38"/>
      <c r="BD5" s="38"/>
    </row>
    <row r="6" spans="1:56" ht="14.4" customHeight="1" x14ac:dyDescent="0.3">
      <c r="A6" s="30"/>
      <c r="B6" s="44"/>
      <c r="C6" s="44"/>
      <c r="D6" s="44"/>
      <c r="E6" s="44"/>
      <c r="F6" s="44"/>
      <c r="G6" s="27" t="s">
        <v>12</v>
      </c>
      <c r="H6" s="27" t="s">
        <v>13</v>
      </c>
      <c r="I6" s="27" t="s">
        <v>12</v>
      </c>
      <c r="J6" s="27" t="s">
        <v>13</v>
      </c>
      <c r="K6" s="27" t="s">
        <v>12</v>
      </c>
      <c r="L6" s="27" t="s">
        <v>13</v>
      </c>
      <c r="M6" s="27" t="s">
        <v>12</v>
      </c>
      <c r="N6" s="27" t="s">
        <v>13</v>
      </c>
      <c r="O6" s="26" t="s">
        <v>12</v>
      </c>
      <c r="P6" s="26" t="s">
        <v>13</v>
      </c>
      <c r="Q6" s="26" t="s">
        <v>12</v>
      </c>
      <c r="R6" s="26" t="s">
        <v>13</v>
      </c>
      <c r="S6" s="26" t="s">
        <v>12</v>
      </c>
      <c r="T6" s="26" t="s">
        <v>13</v>
      </c>
      <c r="U6" s="26" t="s">
        <v>12</v>
      </c>
      <c r="V6" s="26" t="s">
        <v>13</v>
      </c>
      <c r="W6" s="26" t="s">
        <v>12</v>
      </c>
      <c r="X6" s="26" t="s">
        <v>13</v>
      </c>
      <c r="Y6" s="26" t="s">
        <v>12</v>
      </c>
      <c r="Z6" s="26" t="s">
        <v>13</v>
      </c>
      <c r="AA6" s="20" t="s">
        <v>12</v>
      </c>
      <c r="AB6" s="20" t="s">
        <v>13</v>
      </c>
      <c r="AC6" s="20" t="s">
        <v>12</v>
      </c>
      <c r="AD6" s="20" t="s">
        <v>13</v>
      </c>
      <c r="AE6" s="20" t="s">
        <v>12</v>
      </c>
      <c r="AF6" s="20" t="s">
        <v>13</v>
      </c>
      <c r="AG6" s="20" t="s">
        <v>12</v>
      </c>
      <c r="AH6" s="20" t="s">
        <v>13</v>
      </c>
      <c r="AI6" s="20" t="s">
        <v>12</v>
      </c>
      <c r="AJ6" s="20" t="s">
        <v>13</v>
      </c>
      <c r="AK6" s="20" t="s">
        <v>12</v>
      </c>
      <c r="AL6" s="20" t="s">
        <v>13</v>
      </c>
      <c r="AM6" s="20" t="s">
        <v>12</v>
      </c>
      <c r="AN6" s="20" t="s">
        <v>13</v>
      </c>
      <c r="AO6" s="20" t="s">
        <v>12</v>
      </c>
      <c r="AP6" s="20" t="s">
        <v>13</v>
      </c>
      <c r="AQ6" s="20" t="s">
        <v>12</v>
      </c>
      <c r="AR6" s="20" t="s">
        <v>13</v>
      </c>
      <c r="AS6" s="20" t="s">
        <v>12</v>
      </c>
      <c r="AT6" s="20" t="s">
        <v>13</v>
      </c>
      <c r="AU6" s="20" t="s">
        <v>12</v>
      </c>
      <c r="AV6" s="20" t="s">
        <v>13</v>
      </c>
      <c r="AW6" s="20" t="s">
        <v>12</v>
      </c>
      <c r="AX6" s="20" t="s">
        <v>13</v>
      </c>
      <c r="AY6" s="20" t="s">
        <v>12</v>
      </c>
      <c r="AZ6" s="20" t="s">
        <v>13</v>
      </c>
      <c r="BA6" s="20" t="s">
        <v>12</v>
      </c>
      <c r="BB6" s="20" t="s">
        <v>13</v>
      </c>
      <c r="BC6" s="20" t="s">
        <v>12</v>
      </c>
      <c r="BD6" s="20" t="s">
        <v>13</v>
      </c>
    </row>
    <row r="7" spans="1:56" x14ac:dyDescent="0.3">
      <c r="A7" s="6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spans="1:56" ht="14.4" customHeight="1" x14ac:dyDescent="0.3">
      <c r="A8" s="7" t="s">
        <v>36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spans="1:56" x14ac:dyDescent="0.3">
      <c r="A9" s="6" t="s">
        <v>37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spans="1:56" x14ac:dyDescent="0.3">
      <c r="A10" s="8" t="s">
        <v>38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</row>
    <row r="11" spans="1:56" x14ac:dyDescent="0.3">
      <c r="O11" s="65" t="s">
        <v>139</v>
      </c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39" t="s">
        <v>141</v>
      </c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</row>
  </sheetData>
  <mergeCells count="35">
    <mergeCell ref="Y4:Z5"/>
    <mergeCell ref="O11:Z11"/>
    <mergeCell ref="O4:P5"/>
    <mergeCell ref="Q4:R5"/>
    <mergeCell ref="S4:T5"/>
    <mergeCell ref="U4:V5"/>
    <mergeCell ref="W4:X5"/>
    <mergeCell ref="G4:H5"/>
    <mergeCell ref="I4:J5"/>
    <mergeCell ref="K4:L5"/>
    <mergeCell ref="M4:N5"/>
    <mergeCell ref="A2:C3"/>
    <mergeCell ref="A4:A6"/>
    <mergeCell ref="B4:F4"/>
    <mergeCell ref="B5:B6"/>
    <mergeCell ref="C5:C6"/>
    <mergeCell ref="D5:D6"/>
    <mergeCell ref="E5:E6"/>
    <mergeCell ref="F5:F6"/>
    <mergeCell ref="BC4:BD5"/>
    <mergeCell ref="AA11:BD11"/>
    <mergeCell ref="AU4:AV5"/>
    <mergeCell ref="AW4:AX5"/>
    <mergeCell ref="AY4:AZ5"/>
    <mergeCell ref="BA4:BB5"/>
    <mergeCell ref="AK4:AL5"/>
    <mergeCell ref="AM4:AN5"/>
    <mergeCell ref="AO4:AP5"/>
    <mergeCell ref="AQ4:AR5"/>
    <mergeCell ref="AS4:AT5"/>
    <mergeCell ref="AA4:AB5"/>
    <mergeCell ref="AC4:AD5"/>
    <mergeCell ref="AE4:AF5"/>
    <mergeCell ref="AG4:AH5"/>
    <mergeCell ref="AI4:AJ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1EF6B-A783-4386-89F1-2BA1B7B49B3C}">
  <sheetPr codeName="Sheet5">
    <tabColor theme="5"/>
  </sheetPr>
  <dimension ref="A1:AJ11"/>
  <sheetViews>
    <sheetView showGridLines="0" zoomScale="90" zoomScaleNormal="90" workbookViewId="0">
      <pane xSplit="6" topLeftCell="G1" activePane="topRight" state="frozen"/>
      <selection pane="topRight" activeCell="S23" sqref="S23"/>
    </sheetView>
  </sheetViews>
  <sheetFormatPr defaultRowHeight="14.4" x14ac:dyDescent="0.3"/>
  <cols>
    <col min="1" max="1" width="15" bestFit="1" customWidth="1"/>
  </cols>
  <sheetData>
    <row r="1" spans="1:36" ht="15.6" x14ac:dyDescent="0.3">
      <c r="A1" s="1" t="s">
        <v>0</v>
      </c>
      <c r="B1" s="2"/>
      <c r="C1" s="5" t="s">
        <v>2</v>
      </c>
      <c r="D1" s="1"/>
      <c r="E1" s="1"/>
      <c r="F1" s="1"/>
    </row>
    <row r="2" spans="1:36" ht="15.6" x14ac:dyDescent="0.3">
      <c r="A2" s="29" t="s">
        <v>1</v>
      </c>
      <c r="B2" s="29"/>
      <c r="C2" s="29"/>
      <c r="D2" s="1"/>
      <c r="E2" s="1"/>
      <c r="F2" s="1"/>
    </row>
    <row r="3" spans="1:36" ht="15.6" x14ac:dyDescent="0.3">
      <c r="A3" s="29"/>
      <c r="B3" s="29"/>
      <c r="C3" s="29"/>
      <c r="D3" s="1"/>
      <c r="E3" s="1"/>
      <c r="F3" s="1"/>
    </row>
    <row r="4" spans="1:36" ht="15.6" customHeight="1" x14ac:dyDescent="0.3">
      <c r="A4" s="30" t="s">
        <v>6</v>
      </c>
      <c r="B4" s="46" t="s">
        <v>7</v>
      </c>
      <c r="C4" s="47"/>
      <c r="D4" s="47"/>
      <c r="E4" s="47"/>
      <c r="F4" s="48"/>
      <c r="G4" s="38" t="s">
        <v>140</v>
      </c>
      <c r="H4" s="38"/>
      <c r="I4" s="38" t="s">
        <v>107</v>
      </c>
      <c r="J4" s="38"/>
      <c r="K4" s="38" t="s">
        <v>108</v>
      </c>
      <c r="L4" s="38"/>
      <c r="M4" s="38" t="s">
        <v>109</v>
      </c>
      <c r="N4" s="38"/>
      <c r="O4" s="38" t="s">
        <v>110</v>
      </c>
      <c r="P4" s="38"/>
      <c r="Q4" s="38" t="s">
        <v>111</v>
      </c>
      <c r="R4" s="38"/>
      <c r="S4" s="38" t="s">
        <v>142</v>
      </c>
      <c r="T4" s="38"/>
      <c r="U4" s="38" t="s">
        <v>112</v>
      </c>
      <c r="V4" s="38"/>
      <c r="W4" s="40" t="s">
        <v>113</v>
      </c>
      <c r="X4" s="41"/>
      <c r="Y4" s="40" t="s">
        <v>114</v>
      </c>
      <c r="Z4" s="41"/>
      <c r="AA4" s="40" t="s">
        <v>115</v>
      </c>
      <c r="AB4" s="41"/>
      <c r="AC4" s="40" t="s">
        <v>116</v>
      </c>
      <c r="AD4" s="41"/>
      <c r="AE4" s="40" t="s">
        <v>117</v>
      </c>
      <c r="AF4" s="41"/>
      <c r="AG4" s="40" t="s">
        <v>118</v>
      </c>
      <c r="AH4" s="41"/>
      <c r="AI4" s="38" t="s">
        <v>119</v>
      </c>
      <c r="AJ4" s="38"/>
    </row>
    <row r="5" spans="1:36" ht="14.4" customHeight="1" x14ac:dyDescent="0.3">
      <c r="A5" s="30"/>
      <c r="B5" s="44" t="s">
        <v>8</v>
      </c>
      <c r="C5" s="44" t="s">
        <v>9</v>
      </c>
      <c r="D5" s="44" t="s">
        <v>39</v>
      </c>
      <c r="E5" s="44" t="s">
        <v>40</v>
      </c>
      <c r="F5" s="44" t="s">
        <v>41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42"/>
      <c r="X5" s="43"/>
      <c r="Y5" s="42"/>
      <c r="Z5" s="43"/>
      <c r="AA5" s="42"/>
      <c r="AB5" s="43"/>
      <c r="AC5" s="42"/>
      <c r="AD5" s="43"/>
      <c r="AE5" s="42"/>
      <c r="AF5" s="43"/>
      <c r="AG5" s="42"/>
      <c r="AH5" s="43"/>
      <c r="AI5" s="38"/>
      <c r="AJ5" s="38"/>
    </row>
    <row r="6" spans="1:36" ht="14.4" customHeight="1" x14ac:dyDescent="0.3">
      <c r="A6" s="30"/>
      <c r="B6" s="44"/>
      <c r="C6" s="44"/>
      <c r="D6" s="44"/>
      <c r="E6" s="44"/>
      <c r="F6" s="44"/>
      <c r="G6" s="20" t="s">
        <v>12</v>
      </c>
      <c r="H6" s="20" t="s">
        <v>13</v>
      </c>
      <c r="I6" s="20" t="s">
        <v>12</v>
      </c>
      <c r="J6" s="20" t="s">
        <v>13</v>
      </c>
      <c r="K6" s="20" t="s">
        <v>12</v>
      </c>
      <c r="L6" s="20" t="s">
        <v>13</v>
      </c>
      <c r="M6" s="20" t="s">
        <v>12</v>
      </c>
      <c r="N6" s="20" t="s">
        <v>13</v>
      </c>
      <c r="O6" s="20" t="s">
        <v>12</v>
      </c>
      <c r="P6" s="20" t="s">
        <v>13</v>
      </c>
      <c r="Q6" s="20" t="s">
        <v>12</v>
      </c>
      <c r="R6" s="20" t="s">
        <v>13</v>
      </c>
      <c r="S6" s="20" t="s">
        <v>12</v>
      </c>
      <c r="T6" s="20" t="s">
        <v>13</v>
      </c>
      <c r="U6" s="20" t="s">
        <v>12</v>
      </c>
      <c r="V6" s="20" t="s">
        <v>13</v>
      </c>
      <c r="W6" s="20" t="s">
        <v>12</v>
      </c>
      <c r="X6" s="20" t="s">
        <v>13</v>
      </c>
      <c r="Y6" s="20" t="s">
        <v>12</v>
      </c>
      <c r="Z6" s="20" t="s">
        <v>13</v>
      </c>
      <c r="AA6" s="20" t="s">
        <v>12</v>
      </c>
      <c r="AB6" s="20" t="s">
        <v>13</v>
      </c>
      <c r="AC6" s="20" t="s">
        <v>12</v>
      </c>
      <c r="AD6" s="20" t="s">
        <v>13</v>
      </c>
      <c r="AE6" s="20" t="s">
        <v>12</v>
      </c>
      <c r="AF6" s="20" t="s">
        <v>13</v>
      </c>
      <c r="AG6" s="20" t="s">
        <v>12</v>
      </c>
      <c r="AH6" s="20" t="s">
        <v>13</v>
      </c>
      <c r="AI6" s="20" t="s">
        <v>12</v>
      </c>
      <c r="AJ6" s="20" t="s">
        <v>13</v>
      </c>
    </row>
    <row r="7" spans="1:36" x14ac:dyDescent="0.3">
      <c r="A7" s="6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 x14ac:dyDescent="0.3">
      <c r="A8" s="7" t="s">
        <v>36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</row>
    <row r="9" spans="1:36" x14ac:dyDescent="0.3">
      <c r="A9" s="6" t="s">
        <v>37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">
      <c r="A10" s="8" t="s">
        <v>38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 spans="1:36" x14ac:dyDescent="0.3">
      <c r="G11" s="39" t="s">
        <v>141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</sheetData>
  <mergeCells count="24">
    <mergeCell ref="A2:C3"/>
    <mergeCell ref="A4:A6"/>
    <mergeCell ref="B4:F4"/>
    <mergeCell ref="B5:B6"/>
    <mergeCell ref="C5:C6"/>
    <mergeCell ref="D5:D6"/>
    <mergeCell ref="E5:E6"/>
    <mergeCell ref="F5:F6"/>
    <mergeCell ref="S4:T5"/>
    <mergeCell ref="G11:AJ11"/>
    <mergeCell ref="U4:V5"/>
    <mergeCell ref="G4:H5"/>
    <mergeCell ref="I4:J5"/>
    <mergeCell ref="K4:L5"/>
    <mergeCell ref="M4:N5"/>
    <mergeCell ref="O4:P5"/>
    <mergeCell ref="Q4:R5"/>
    <mergeCell ref="AE4:AF5"/>
    <mergeCell ref="AG4:AH5"/>
    <mergeCell ref="AI4:AJ5"/>
    <mergeCell ref="W4:X5"/>
    <mergeCell ref="Y4:Z5"/>
    <mergeCell ref="AA4:AB5"/>
    <mergeCell ref="AC4:A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Pasien</vt:lpstr>
      <vt:lpstr>ANC</vt:lpstr>
      <vt:lpstr>ANC Terpadu</vt:lpstr>
      <vt:lpstr>Persalinan Nifas</vt:lpstr>
      <vt:lpstr>Komplikasi Kebidanan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 Septianto</dc:creator>
  <cp:lastModifiedBy>Rio Septianto</cp:lastModifiedBy>
  <dcterms:created xsi:type="dcterms:W3CDTF">2026-01-02T03:09:56Z</dcterms:created>
  <dcterms:modified xsi:type="dcterms:W3CDTF">2026-02-02T00:59:17Z</dcterms:modified>
</cp:coreProperties>
</file>